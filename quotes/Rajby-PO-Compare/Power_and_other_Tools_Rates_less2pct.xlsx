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es -2%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31" authorId="0">
      <text>
        <r>
          <rPr>
            <sz val="10"/>
            <rFont val="Arial"/>
            <family val="2"/>
          </rPr>
          <t xml:space="preserve">Tumhari sheet mein 2 likha tha; Rajby PO rate 8,197 use kiya</t>
        </r>
      </text>
    </comment>
    <comment ref="F232" authorId="0">
      <text>
        <r>
          <rPr>
            <sz val="10"/>
            <rFont val="Arial"/>
            <family val="2"/>
          </rPr>
          <t xml:space="preserve">250,000 likha hai - 3 ton hydraulic jack ke liye bohat zyada lagta hai (5 ton PO 11,638). Confirm karo</t>
        </r>
      </text>
    </comment>
    <comment ref="F233" authorId="0">
      <text>
        <r>
          <rPr>
            <sz val="10"/>
            <rFont val="Arial"/>
            <family val="2"/>
          </rPr>
          <t xml:space="preserve">Tumhari sheet mein 50,000 likha tha; Rajby PO rate 11,638 use kiya</t>
        </r>
      </text>
    </comment>
  </commentList>
</comments>
</file>

<file path=xl/sharedStrings.xml><?xml version="1.0" encoding="utf-8"?>
<sst xmlns="http://schemas.openxmlformats.org/spreadsheetml/2006/main" count="600" uniqueCount="256">
  <si>
    <t xml:space="preserve">Power &amp; other Tools Inquiry - Rates (2% less, rounded to 10)</t>
  </si>
  <si>
    <t xml:space="preserve">Discount:</t>
  </si>
  <si>
    <t xml:space="preserve">SR#</t>
  </si>
  <si>
    <t xml:space="preserve">PR#</t>
  </si>
  <si>
    <t xml:space="preserve">Description</t>
  </si>
  <si>
    <t xml:space="preserve">UOM</t>
  </si>
  <si>
    <t xml:space="preserve">QTY</t>
  </si>
  <si>
    <t xml:space="preserve">Given Rate</t>
  </si>
  <si>
    <t xml:space="preserve">Source</t>
  </si>
  <si>
    <t xml:space="preserve">Rate (-2%, rounded)</t>
  </si>
  <si>
    <t xml:space="preserve">Amount</t>
  </si>
  <si>
    <t xml:space="preserve">STONE CUTTING DISC 4"</t>
  </si>
  <si>
    <t xml:space="preserve">Pieces</t>
  </si>
  <si>
    <t xml:space="preserve">Hassan new</t>
  </si>
  <si>
    <t xml:space="preserve">STEEL NAIL  1-1/2"   Taiwan</t>
  </si>
  <si>
    <t xml:space="preserve">MECHANICAL JACK 5 TON (Japan or Germany)</t>
  </si>
  <si>
    <t xml:space="preserve">Rajby PO</t>
  </si>
  <si>
    <t xml:space="preserve">DRILL BIT 08 MM (Yato or any Good brand taiwan)</t>
  </si>
  <si>
    <t xml:space="preserve">MECHANICAL JACK 03 TONS (Japan or germany)</t>
  </si>
  <si>
    <t xml:space="preserve">Number</t>
  </si>
  <si>
    <t xml:space="preserve">SAFETY HELMET (WHITE)</t>
  </si>
  <si>
    <t xml:space="preserve">SAFETY GOOGLES</t>
  </si>
  <si>
    <t xml:space="preserve">7  DRAWER TOOL TROLLEY</t>
  </si>
  <si>
    <t xml:space="preserve">DOUBLE OPEN RING OFFSET WRENCH SET (12PCS)</t>
  </si>
  <si>
    <t xml:space="preserve">DOUBLE OPEN END WRENCH 6 TO 32 (12 PCS SET )</t>
  </si>
  <si>
    <t xml:space="preserve">DOUBLE OPEN END WRENCH 36X41</t>
  </si>
  <si>
    <t xml:space="preserve">DOUBLE OPEN END WRENCH 41X46</t>
  </si>
  <si>
    <t xml:space="preserve">COMBINATION WRENCH 8 TO 32 (14 PCS SET)</t>
  </si>
  <si>
    <t xml:space="preserve">SOCKET SET (113PCS) 1/4" &amp; 1/2"</t>
  </si>
  <si>
    <t xml:space="preserve">PIN PUNCH SET (06PCS SET )</t>
  </si>
  <si>
    <t xml:space="preserve">HOLLOW PUNCH (3MM-25MM) (15PCS SET)</t>
  </si>
  <si>
    <t xml:space="preserve">LONG TYPE HEX KEY WRENCH SET 09 PCS</t>
  </si>
  <si>
    <t xml:space="preserve">SHORT TYPE HEX KEY WRENCH SET (09PCS)</t>
  </si>
  <si>
    <t xml:space="preserve">LONG TYPE HEX WRENCH SET 09 PCS</t>
  </si>
  <si>
    <t xml:space="preserve">ALLEN HEX KEY 12MM</t>
  </si>
  <si>
    <t xml:space="preserve">ALLEN (HEX) KEY 14MM</t>
  </si>
  <si>
    <t xml:space="preserve">ALLEN (HEX) KEY 16MM</t>
  </si>
  <si>
    <t xml:space="preserve">CIRCLIP PLIER INTERNAL STRAIGHT 175MM</t>
  </si>
  <si>
    <t xml:space="preserve">CIRCLIP PLIER INTERNAL BENT 175MM</t>
  </si>
  <si>
    <t xml:space="preserve">CIRCLIP PLIER EXTERNAL STRAIGHT 175MM</t>
  </si>
  <si>
    <t xml:space="preserve">CIRCLIP PLIER EXTERNAL BENT 175MM</t>
  </si>
  <si>
    <t xml:space="preserve">CIRCLIP PLIER INTERNAL STRAIGHT 230MM</t>
  </si>
  <si>
    <t xml:space="preserve">CIRCLIP PLIER EXTERNAL STRAIGHT 230MM</t>
  </si>
  <si>
    <t xml:space="preserve">SCREWDRIVER SET SLOTTED &amp; PHILLIPS (08 PCS SET)</t>
  </si>
  <si>
    <t xml:space="preserve">CHISEL SET (05 PCS SET)</t>
  </si>
  <si>
    <t xml:space="preserve">PIPE WRENCH SIZE 10"</t>
  </si>
  <si>
    <t xml:space="preserve">PIPE WRENCH SIZE  12"</t>
  </si>
  <si>
    <t xml:space="preserve">PIPE WRENCH SIZE  18"</t>
  </si>
  <si>
    <t xml:space="preserve">PIPE WRENCH SIZE  24"</t>
  </si>
  <si>
    <t xml:space="preserve">PIPE WRENCH SIZE  36"</t>
  </si>
  <si>
    <t xml:space="preserve">SLEDGE HAMMER 1 LBS WITH FIBREGLASS HANDLE</t>
  </si>
  <si>
    <t xml:space="preserve">SLEDGE HAMMER 3 LBS WITH FIBREGLASS HANDLE</t>
  </si>
  <si>
    <t xml:space="preserve">SOFT FACE DEAD BLOW HAMMER 50MM</t>
  </si>
  <si>
    <t xml:space="preserve">VICE GRIP PLIER 08"</t>
  </si>
  <si>
    <t xml:space="preserve">CORDLESS IMPACT WRENCH 185NM (Bosch)</t>
  </si>
  <si>
    <t xml:space="preserve">CORDLESS IMPACT WRENCH  350N  (Bosch)</t>
  </si>
  <si>
    <t xml:space="preserve">CORDLESS IMPACT WRENCH  1000N  (Bosch)</t>
  </si>
  <si>
    <t xml:space="preserve">HEX  IMPACT ADAPTOR 1/2" FEMALE TO 1/4" FEMALE</t>
  </si>
  <si>
    <t xml:space="preserve">FLAT FILE 12"</t>
  </si>
  <si>
    <t xml:space="preserve">ROUNDE FILE 12"</t>
  </si>
  <si>
    <t xml:space="preserve">UNIVERSAL PULLER 140 - 100 MM 3T (Force ot yato brand)</t>
  </si>
  <si>
    <t xml:space="preserve">UNIVERSAL PULLER 2-ARMED WITH HOOK BRAKE 210 X 150 MM 5T (Force ot yato brand)</t>
  </si>
  <si>
    <t xml:space="preserve">UNIVERSAL PULLER 2-ARMED WITH HOOK BRAK 250 X 200 MM 7.5T (Force ot yato brand)</t>
  </si>
  <si>
    <t xml:space="preserve">UNIVERSAL PULLER 2-ARMED 160 X 300 MM 5T (Force ot yaro brand)</t>
  </si>
  <si>
    <t xml:space="preserve">UNIVERSAL PULLER 2-ARMED 250 X 300 MM 7.5T (Force ot yaro brand)</t>
  </si>
  <si>
    <t xml:space="preserve">INTERNAL EXTRACTOR WITH REINFORCED COLLAR  60-160 MM</t>
  </si>
  <si>
    <t xml:space="preserve">MECHANICAL PULLER 3 ARMED 200X200 (Force ot yato brand)</t>
  </si>
  <si>
    <t xml:space="preserve">MECHANICAL PULLER 3 ARMED 250X250 (Force ot yato brand)</t>
  </si>
  <si>
    <t xml:space="preserve">DRILL MACHINE CORDLESS ROTARY HAMMER Bosch</t>
  </si>
  <si>
    <t xml:space="preserve">MANUAL GREASE GUN 5KG</t>
  </si>
  <si>
    <t xml:space="preserve">AIR GREASE GUN 500CC</t>
  </si>
  <si>
    <t xml:space="preserve">HAND GREASE GUN WITH HOSE 500CC</t>
  </si>
  <si>
    <t xml:space="preserve">GREASE PIPE 1/4"X12"</t>
  </si>
  <si>
    <t xml:space="preserve">DOUBLE HANDLE GREASE NOZZLE</t>
  </si>
  <si>
    <t xml:space="preserve">STEEL MEASURMENT TAPE 100M</t>
  </si>
  <si>
    <t xml:space="preserve">STEEL MEASURMENT TAPE 50M</t>
  </si>
  <si>
    <t xml:space="preserve">ALIGNING PRY BAR  DIA 5/8"X 18'' LENGTH (CHISEL/POINT END)</t>
  </si>
  <si>
    <t xml:space="preserve">ADJUSTABLE WRENCH 15"</t>
  </si>
  <si>
    <t xml:space="preserve">ROUGH FILE SMOOTH 10"</t>
  </si>
  <si>
    <t xml:space="preserve">POLISH FILE SMOOTH 10"</t>
  </si>
  <si>
    <t xml:space="preserve">REVOLVING CENTRE MT4</t>
  </si>
  <si>
    <t xml:space="preserve">REVOLVING CENTRE MT3</t>
  </si>
  <si>
    <t xml:space="preserve">CORDLESS ANGLE GRINDER 125MM EQUIVALENT POWER 1500W Bosch</t>
  </si>
  <si>
    <t xml:space="preserve">CIRCUMFERENCE TAPE (60-950) (D20-300)</t>
  </si>
  <si>
    <t xml:space="preserve">CIRCUMFERENCE TAPE (940-2200) (D300-700)</t>
  </si>
  <si>
    <t xml:space="preserve">MEASURING TAPE 5M.</t>
  </si>
  <si>
    <t xml:space="preserve">HSS DRILL BIT SET 1 - 13MM X 0.5MM (25 PCS SET) (Force or any good brand)</t>
  </si>
  <si>
    <t xml:space="preserve">HSS COBALT DRILL SET  1-13MM 25(PCS SET)  (Force or any good brand)</t>
  </si>
  <si>
    <t xml:space="preserve">HSS DRILL BITS 1/16-1/2"(29PCS SET)</t>
  </si>
  <si>
    <t xml:space="preserve">HSS DRILL BIT 14MM TAPER SHANK</t>
  </si>
  <si>
    <t xml:space="preserve">HSS DRILL BIT 15MM TAPER SHANK</t>
  </si>
  <si>
    <t xml:space="preserve">HSS DRILL BIT 15.5MM TAPER SHANK</t>
  </si>
  <si>
    <t xml:space="preserve">HSS DRILL BIT 16MM TAPER SHANK</t>
  </si>
  <si>
    <t xml:space="preserve">HSS DRILL BIT 16.5MM TAPER SHANK</t>
  </si>
  <si>
    <t xml:space="preserve">HSS DRILL BIT 17MM  TAPER SHANK</t>
  </si>
  <si>
    <t xml:space="preserve">HSS DRILL BIT 17.5MM TAPER SHANK</t>
  </si>
  <si>
    <t xml:space="preserve">HSS DRILL BIT 19 MM TAPER SHANK</t>
  </si>
  <si>
    <t xml:space="preserve">HSS DRILL BIT 21 MM TAPER SHANK</t>
  </si>
  <si>
    <t xml:space="preserve">HSS DRILL BIT 25MM TAPER SHANK</t>
  </si>
  <si>
    <t xml:space="preserve">HSS DRILL BIT 30MM TAPER SHANK</t>
  </si>
  <si>
    <t xml:space="preserve">HSS DRILL BIT 32MM TAPER SHANK</t>
  </si>
  <si>
    <t xml:space="preserve">HSS DRILL BIT 35MM TAPER SHANK</t>
  </si>
  <si>
    <t xml:space="preserve">MORSE TAPER EXTENSION SOCKET SLEEVE ADAPTER MT1</t>
  </si>
  <si>
    <t xml:space="preserve">MORSE TAPER EXTENSION SOCKET SLEEVE ADAPTER MT2</t>
  </si>
  <si>
    <t xml:space="preserve">MORSE TAPER EXTENSION SOCKET SLEEVE ADAPTER MT3</t>
  </si>
  <si>
    <t xml:space="preserve">DEAD CENTRE DIAMOND TIP M2</t>
  </si>
  <si>
    <t xml:space="preserve">DEAD CENTRE DIAMOND TIP M3</t>
  </si>
  <si>
    <t xml:space="preserve">DIGITAL VERINER CALIPER 300MM (Insize brand)</t>
  </si>
  <si>
    <t xml:space="preserve">MANUAL VERNIER CALLIPER 12" (Insize brand)</t>
  </si>
  <si>
    <t xml:space="preserve">MANUAL VERNIER CALLIPER 8" (Insize brand)</t>
  </si>
  <si>
    <t xml:space="preserve">VERNIER DEPTH GUAGE 250MM GRADUATION 0.02MM (Insize brand)</t>
  </si>
  <si>
    <t xml:space="preserve">CORDLESS DRILL DRIVER 150NM Bosch</t>
  </si>
  <si>
    <t xml:space="preserve">TAP SET 1/2" BSPF LEFT HAND (Dormer)</t>
  </si>
  <si>
    <t xml:space="preserve">TAP SET 1/2" BSPF RIGHT HAND</t>
  </si>
  <si>
    <t xml:space="preserve">TAP SET 3/8" BSPF</t>
  </si>
  <si>
    <t xml:space="preserve">TAP SET 1/4" BSPF</t>
  </si>
  <si>
    <t xml:space="preserve">TAP SET 1/8" BSPF</t>
  </si>
  <si>
    <t xml:space="preserve">WIRE BRUSH HEAVY DUTY 4/5 NROW</t>
  </si>
  <si>
    <t xml:space="preserve">WELDING HELMET (FLIP FRONT)</t>
  </si>
  <si>
    <t xml:space="preserve">WELDING LEATHER GLOOVES 16"</t>
  </si>
  <si>
    <t xml:space="preserve">C-CLAMP 6"</t>
  </si>
  <si>
    <t xml:space="preserve">C-CLAMP 12"</t>
  </si>
  <si>
    <t xml:space="preserve">SPIRIT LEVEL 1 METER</t>
  </si>
  <si>
    <t xml:space="preserve">MAGNET SPIRIT LEVEL 12"</t>
  </si>
  <si>
    <t xml:space="preserve">CARBON STEEL RIGHT ANGLE 150MM</t>
  </si>
  <si>
    <t xml:space="preserve">CARBON STEEL RIGHT ANGLE 300MM</t>
  </si>
  <si>
    <t xml:space="preserve">GAS CUTTING TORCH MEDIUM 6-50MM</t>
  </si>
  <si>
    <t xml:space="preserve">CUTTING TIPS/NOZZLES NO. 02 (6MM-12MM)</t>
  </si>
  <si>
    <t xml:space="preserve">CUTTING TIPS/NOZZLES NO. 03 (12MM-25)</t>
  </si>
  <si>
    <t xml:space="preserve">OXYGEN REGULATOR 0-10 BAR</t>
  </si>
  <si>
    <t xml:space="preserve">FUEL GAS REGULATOR 0-2.5 BAR</t>
  </si>
  <si>
    <t xml:space="preserve">OXYGEN HOSE 08MM ID</t>
  </si>
  <si>
    <t xml:space="preserve">Meter</t>
  </si>
  <si>
    <t xml:space="preserve">ACETYLENE GAS HOSE 08 ID</t>
  </si>
  <si>
    <t xml:space="preserve">CYLINDER KEY/SPANNER</t>
  </si>
  <si>
    <t xml:space="preserve">TIP CLEANER FOR GAS WELDING TORCH</t>
  </si>
  <si>
    <t xml:space="preserve">WELDING/CUTTING GOGGLES</t>
  </si>
  <si>
    <t xml:space="preserve">AC/DC SINGLE PHASE WELDING PLANT 300 AMP</t>
  </si>
  <si>
    <t xml:space="preserve">TIG WELDING TORCH AIR-COOLED 5METER</t>
  </si>
  <si>
    <t xml:space="preserve">TORCH HEAD ARGON WELDING</t>
  </si>
  <si>
    <t xml:space="preserve">COLLECT OF ARGON 2.4MM</t>
  </si>
  <si>
    <t xml:space="preserve">COLLECT BODY FOR ARGON 2.4MM</t>
  </si>
  <si>
    <t xml:space="preserve">CERAMIC CUP NO.5</t>
  </si>
  <si>
    <t xml:space="preserve">CERAMIC CUP NO.6</t>
  </si>
  <si>
    <t xml:space="preserve">CERAMIC CUP NO.7</t>
  </si>
  <si>
    <t xml:space="preserve">TUNGSTEN ELECTRODE 2.4MM</t>
  </si>
  <si>
    <t xml:space="preserve">ARGON REGULATOR FLOW METER</t>
  </si>
  <si>
    <t xml:space="preserve">ARGON GAS HOSE 06MM</t>
  </si>
  <si>
    <t xml:space="preserve">GAS HOSE CONNECTOR</t>
  </si>
  <si>
    <t xml:space="preserve">SHORT SLEEVE TIG WELDING GLOVES 10-INCH</t>
  </si>
  <si>
    <t xml:space="preserve">Pair</t>
  </si>
  <si>
    <t xml:space="preserve">CUTTING DISC 355MM(14")XBORE 25.4 (1")X 3MM (1/8)</t>
  </si>
  <si>
    <t xml:space="preserve">CUTTING DISC 125MMX01MM</t>
  </si>
  <si>
    <t xml:space="preserve">ALUMINIUM OXIDE GRINDING DISC 125MM THICKNESS 6MM GRIT 30</t>
  </si>
  <si>
    <t xml:space="preserve">CUTTING DISC 230MMX03MM</t>
  </si>
  <si>
    <t xml:space="preserve">BUFFING DISC 125MM</t>
  </si>
  <si>
    <t xml:space="preserve">BRASS PLATED CUP WIRE BRUSH 125MMX30MMXM14</t>
  </si>
  <si>
    <t xml:space="preserve">HIGH CARBON STEEL CUP WIRE BRUSH 125MMXM14X0.35MM</t>
  </si>
  <si>
    <t xml:space="preserve">GRINDER WHEEL ALUMINIUM OXIDE GRIT 24 (200MMX32MMX25MM)</t>
  </si>
  <si>
    <t xml:space="preserve">GRINDER WHEEL ALUMINIUM OXIDE GRIT 60 (200MMX32MMX25MM)</t>
  </si>
  <si>
    <t xml:space="preserve">GRINDER WHEEL SILICON CARBIDE (200MMX32MMX25MM)</t>
  </si>
  <si>
    <t xml:space="preserve">COTTON ROPE 2MM</t>
  </si>
  <si>
    <t xml:space="preserve">HYDRAULIC HAND TROLLY 3T</t>
  </si>
  <si>
    <t xml:space="preserve">HYDRAULIC HAND TROLLY 5T</t>
  </si>
  <si>
    <t xml:space="preserve">FLATE METAL SCRAPPER 50MM</t>
  </si>
  <si>
    <t xml:space="preserve">WD 40 330ML (MULTI PURPOSE)</t>
  </si>
  <si>
    <t xml:space="preserve">PU COATED SAFETY GLOOVES LEVEL 5 CUT RESISTANT</t>
  </si>
  <si>
    <t xml:space="preserve">NITRILE SAFETY GLOOVES OIL RESISTANT</t>
  </si>
  <si>
    <t xml:space="preserve">PVC SAFETY GLOVES LARGE CHEMICAL RESISTANT</t>
  </si>
  <si>
    <t xml:space="preserve">SAFETY HELMET YELLOW</t>
  </si>
  <si>
    <t xml:space="preserve">RED OXIDE POWDER</t>
  </si>
  <si>
    <t xml:space="preserve">SPRAY WHITE</t>
  </si>
  <si>
    <t xml:space="preserve">SPRAY BLUE</t>
  </si>
  <si>
    <t xml:space="preserve">SPRAY GREEN</t>
  </si>
  <si>
    <t xml:space="preserve">TOILET CLEANING BRUSH</t>
  </si>
  <si>
    <t xml:space="preserve">CUT PIECES OF CLOTHS FOR CLEANING</t>
  </si>
  <si>
    <t xml:space="preserve">Kilogram</t>
  </si>
  <si>
    <t xml:space="preserve">ANCHOR BOLT 10X110</t>
  </si>
  <si>
    <t xml:space="preserve">ANCHOR BOLT 12X120</t>
  </si>
  <si>
    <t xml:space="preserve">ANCHOR BOLT 12X160</t>
  </si>
  <si>
    <t xml:space="preserve">WELDING RODS 2.5MM E6013, NO 10 Zodian</t>
  </si>
  <si>
    <t xml:space="preserve">WELDING RODS 3.25MM E6013 NO 12</t>
  </si>
  <si>
    <t xml:space="preserve">WELDING RODS 2.5MM E7018 NO-10</t>
  </si>
  <si>
    <t xml:space="preserve">SS WELDING RODS 309L-16 2.6MM NO.12</t>
  </si>
  <si>
    <t xml:space="preserve">SS WELDING RODS 316L-16 2.6MM NO.12</t>
  </si>
  <si>
    <t xml:space="preserve">ARGON WELDING FILLER ROD 2.4MM X 1 METER ER308L</t>
  </si>
  <si>
    <t xml:space="preserve">ARGON WELDING FILLER ROD 2.4MMX 1 METER ER316L</t>
  </si>
  <si>
    <t xml:space="preserve">ARGON WELDING FILLER ROD 2.4MM X 1 METER ER309L</t>
  </si>
  <si>
    <t xml:space="preserve">ARGON WELDING FILLER ROD 2.4MM X 1 METER ER70S-6</t>
  </si>
  <si>
    <t xml:space="preserve">ARGON WELDING FILLER ROD 1MM X 1 METER ER308L</t>
  </si>
  <si>
    <t xml:space="preserve">ARGON WELDING FILLER ROD 1MMX 1 METER ER316L</t>
  </si>
  <si>
    <t xml:space="preserve">ARGON WELDING FILLER ROD 1MM X 1 METER ER309L</t>
  </si>
  <si>
    <t xml:space="preserve">ARGON WELDING FILLER ROD 1MM X 1 METER ER70S-6</t>
  </si>
  <si>
    <t xml:space="preserve">BLIND RIVETS 04MMX25MM (1000PCS)</t>
  </si>
  <si>
    <t xml:space="preserve">TAP SET 1" BSPF LEFT HAND</t>
  </si>
  <si>
    <t xml:space="preserve">TAP SET 1" BSPF RIGHT HAND</t>
  </si>
  <si>
    <t xml:space="preserve">TAP SET 1-1/4" BSPF LEFT HAND</t>
  </si>
  <si>
    <t xml:space="preserve">TAP SET 1-1/4" BSPF RIGHT HAND</t>
  </si>
  <si>
    <t xml:space="preserve">TAP SET M6</t>
  </si>
  <si>
    <t xml:space="preserve">TAP SET M8</t>
  </si>
  <si>
    <t xml:space="preserve">TAP SET M10</t>
  </si>
  <si>
    <t xml:space="preserve">TAP SET M12</t>
  </si>
  <si>
    <t xml:space="preserve">TAP SET M16</t>
  </si>
  <si>
    <t xml:space="preserve">TAP SET M18</t>
  </si>
  <si>
    <t xml:space="preserve">TAP SET M20</t>
  </si>
  <si>
    <t xml:space="preserve">TAP HANDLE</t>
  </si>
  <si>
    <t xml:space="preserve">INSIDE CALIPER 06"</t>
  </si>
  <si>
    <t xml:space="preserve">INSIDE CALIPER 20"</t>
  </si>
  <si>
    <t xml:space="preserve">OUTSIDE CALIPER 06"</t>
  </si>
  <si>
    <t xml:space="preserve">OUTSIDE CALIPER 20"</t>
  </si>
  <si>
    <t xml:space="preserve">RACHET TAP HANDLE</t>
  </si>
  <si>
    <t xml:space="preserve">MICROMETER 0 TO 25MM</t>
  </si>
  <si>
    <t xml:space="preserve">MICROMETER 25 TO 50MM</t>
  </si>
  <si>
    <t xml:space="preserve">MICROMETER 50 TO 75MM</t>
  </si>
  <si>
    <t xml:space="preserve">MICROMETER 75 TO 100MM</t>
  </si>
  <si>
    <t xml:space="preserve">MICROMETER 100 TO 125MM</t>
  </si>
  <si>
    <t xml:space="preserve">NEEDLE FILE (5PCS SET)</t>
  </si>
  <si>
    <t xml:space="preserve">3 JAW DRILL CHUCK, 1-13MM CLAMPING RANGE, HARDENED STEEL FOR LATHE DRILL</t>
  </si>
  <si>
    <t xml:space="preserve">END MILL CUTTER SIZE 5MM</t>
  </si>
  <si>
    <t xml:space="preserve">END MILL CUTTER SIZE 6MM</t>
  </si>
  <si>
    <t xml:space="preserve">END MILL CUTTER SIZE 8MM</t>
  </si>
  <si>
    <t xml:space="preserve">END MILL CUTTER SIZE 10MM</t>
  </si>
  <si>
    <t xml:space="preserve">END MILL CUTTER SIZE 12MM</t>
  </si>
  <si>
    <t xml:space="preserve">END MILL CUTTER SIZE 16MM</t>
  </si>
  <si>
    <t xml:space="preserve">END MILL CUTTER SIZE 18MM</t>
  </si>
  <si>
    <t xml:space="preserve">END MILL CUTTER SIZE 22MM</t>
  </si>
  <si>
    <t xml:space="preserve">END MILL CUTTER SIZE 25MM</t>
  </si>
  <si>
    <t xml:space="preserve">DIE NUT SIZE 5MM</t>
  </si>
  <si>
    <t xml:space="preserve">DIE NUT SIZE 6MM</t>
  </si>
  <si>
    <t xml:space="preserve">DIE NUT SIZE 8MM</t>
  </si>
  <si>
    <t xml:space="preserve">DIE NUT SIZE 10MM</t>
  </si>
  <si>
    <t xml:space="preserve">DIE NUT SIZE 12MM</t>
  </si>
  <si>
    <t xml:space="preserve">DIE NUT SIZE 16MM</t>
  </si>
  <si>
    <t xml:space="preserve">DIE NUT HANDLE SMALL</t>
  </si>
  <si>
    <t xml:space="preserve">DIE NUT HANDLE MEDIUM</t>
  </si>
  <si>
    <t xml:space="preserve">DIE NUT HANDLE LARGE</t>
  </si>
  <si>
    <t xml:space="preserve">3 JAW CHUCK 4"</t>
  </si>
  <si>
    <t xml:space="preserve">BENCH VISE 08"</t>
  </si>
  <si>
    <t xml:space="preserve">BENCH VISE 12"</t>
  </si>
  <si>
    <t xml:space="preserve">HSS TOOL 08X08X200MM</t>
  </si>
  <si>
    <t xml:space="preserve">HSS TOOL 10MMX10MMX200MM</t>
  </si>
  <si>
    <t xml:space="preserve">HSS TOOL 12MMX12MMX200MM</t>
  </si>
  <si>
    <t xml:space="preserve">HSS TOOL 16MMX16MMX200MM</t>
  </si>
  <si>
    <t xml:space="preserve">HSS PARTING OFF TOOL 1/8"X 3/4" X 8"</t>
  </si>
  <si>
    <t xml:space="preserve">HYDRAULIC JACK 3 TON</t>
  </si>
  <si>
    <t xml:space="preserve">HYDRAULIC JACK 5 TON</t>
  </si>
  <si>
    <t xml:space="preserve">HEAT GUN 50 TO 650 CENTIGRADE, 2300W, 220V SINGLE PHASE Bosch</t>
  </si>
  <si>
    <t xml:space="preserve">CORDLESS SMALL ANGLE GRINDER 125MM EQUVALENT 1500W Bosch</t>
  </si>
  <si>
    <t xml:space="preserve">WELDING ELCTRODE HOLDER 1000 AMP</t>
  </si>
  <si>
    <t xml:space="preserve">EARTH CLAMP 1000 AMP</t>
  </si>
  <si>
    <t xml:space="preserve">WELDING CABLE 1000 AMPERE</t>
  </si>
  <si>
    <t xml:space="preserve">CABLE LUGS 1000 AMPERE</t>
  </si>
  <si>
    <t xml:space="preserve">FULL BODY HARNESS BELT</t>
  </si>
  <si>
    <t xml:space="preserve">ANGLE GRINDER 9" BOSCH PRO STONE BONDED CUTTING DISC (230MM) Bosch</t>
  </si>
  <si>
    <t xml:space="preserve">DRILL BIT 4MM.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</si>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</sst>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71C1C"/>
        <bgColor rgb="FF993366"/>
      </patternFill>
    </fill>
    <fill>
      <patternFill patternType="solid">
        <fgColor rgb="FFFFF59D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62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7" min="6" style="0" width="12"/>
    <col collapsed="false" customWidth="true" hidden="false" outlineLevel="0" max="9" min="8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0.02</v>
      </c>
    </row>
    <row r="4" customFormat="false" ht="26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false" outlineLevel="0" collapsed="false">
      <c r="A5" s="5" t="n">
        <v>1</v>
      </c>
      <c r="B5" s="5" t="n">
        <v>228</v>
      </c>
      <c r="C5" s="5" t="s">
        <v>11</v>
      </c>
      <c r="D5" s="5" t="s">
        <v>12</v>
      </c>
      <c r="E5" s="5" t="n">
        <v>30</v>
      </c>
      <c r="F5" s="6" t="n">
        <v>800</v>
      </c>
      <c r="G5" s="5" t="s">
        <v>13</v>
      </c>
      <c r="H5" s="7" t="n">
        <f aca="false">IF(F5="","",ROUND(F5*(1-$B$2),-1))</f>
        <v>780</v>
      </c>
      <c r="I5" s="7" t="n">
        <f aca="false">IF(H5="","",E5*H5)</f>
        <v>23400</v>
      </c>
    </row>
    <row r="6" customFormat="false" ht="15" hidden="false" customHeight="false" outlineLevel="0" collapsed="false">
      <c r="A6" s="5" t="n">
        <v>2</v>
      </c>
      <c r="B6" s="5" t="n">
        <v>217</v>
      </c>
      <c r="C6" s="5" t="s">
        <v>14</v>
      </c>
      <c r="D6" s="5" t="s">
        <v>12</v>
      </c>
      <c r="E6" s="5" t="n">
        <v>2</v>
      </c>
      <c r="F6" s="6"/>
      <c r="G6" s="5"/>
      <c r="H6" s="7" t="str">
        <f aca="false">IF(F6="","",ROUND(F6*(1-$B$2),-1))</f>
        <v/>
      </c>
      <c r="I6" s="7" t="str">
        <f aca="false">IF(H6="","",E6*H6)</f>
        <v/>
      </c>
    </row>
    <row r="7" customFormat="false" ht="15" hidden="false" customHeight="false" outlineLevel="0" collapsed="false">
      <c r="A7" s="5" t="n">
        <v>3</v>
      </c>
      <c r="B7" s="5" t="n">
        <v>217</v>
      </c>
      <c r="C7" s="5" t="s">
        <v>15</v>
      </c>
      <c r="D7" s="5" t="s">
        <v>12</v>
      </c>
      <c r="E7" s="5" t="n">
        <v>2</v>
      </c>
      <c r="F7" s="6" t="n">
        <v>75000</v>
      </c>
      <c r="G7" s="5" t="s">
        <v>16</v>
      </c>
      <c r="H7" s="7" t="n">
        <f aca="false">IF(F7="","",ROUND(F7*(1-$B$2),-1))</f>
        <v>73500</v>
      </c>
      <c r="I7" s="7" t="n">
        <f aca="false">IF(H7="","",E7*H7)</f>
        <v>147000</v>
      </c>
    </row>
    <row r="8" customFormat="false" ht="15" hidden="false" customHeight="false" outlineLevel="0" collapsed="false">
      <c r="A8" s="5" t="n">
        <v>4</v>
      </c>
      <c r="B8" s="5" t="n">
        <v>228</v>
      </c>
      <c r="C8" s="5" t="s">
        <v>17</v>
      </c>
      <c r="D8" s="5" t="s">
        <v>12</v>
      </c>
      <c r="E8" s="5" t="n">
        <v>50</v>
      </c>
      <c r="F8" s="6"/>
      <c r="G8" s="5"/>
      <c r="H8" s="7" t="str">
        <f aca="false">IF(F8="","",ROUND(F8*(1-$B$2),-1))</f>
        <v/>
      </c>
      <c r="I8" s="7" t="str">
        <f aca="false">IF(H8="","",E8*H8)</f>
        <v/>
      </c>
    </row>
    <row r="9" customFormat="false" ht="15" hidden="false" customHeight="false" outlineLevel="0" collapsed="false">
      <c r="A9" s="5" t="n">
        <v>5</v>
      </c>
      <c r="B9" s="5" t="n">
        <v>217</v>
      </c>
      <c r="C9" s="5" t="s">
        <v>18</v>
      </c>
      <c r="D9" s="5" t="s">
        <v>19</v>
      </c>
      <c r="E9" s="5" t="n">
        <v>2</v>
      </c>
      <c r="F9" s="6" t="n">
        <v>49500</v>
      </c>
      <c r="G9" s="5" t="s">
        <v>16</v>
      </c>
      <c r="H9" s="7" t="n">
        <f aca="false">IF(F9="","",ROUND(F9*(1-$B$2),-1))</f>
        <v>48510</v>
      </c>
      <c r="I9" s="7" t="n">
        <f aca="false">IF(H9="","",E9*H9)</f>
        <v>97020</v>
      </c>
    </row>
    <row r="10" customFormat="false" ht="15" hidden="false" customHeight="false" outlineLevel="0" collapsed="false">
      <c r="A10" s="5" t="n">
        <v>6</v>
      </c>
      <c r="B10" s="5" t="n">
        <v>217</v>
      </c>
      <c r="C10" s="5" t="s">
        <v>20</v>
      </c>
      <c r="D10" s="5" t="s">
        <v>19</v>
      </c>
      <c r="E10" s="5" t="n">
        <v>6</v>
      </c>
      <c r="F10" s="6" t="n">
        <v>1400</v>
      </c>
      <c r="G10" s="5" t="s">
        <v>13</v>
      </c>
      <c r="H10" s="7" t="n">
        <f aca="false">IF(F10="","",ROUND(F10*(1-$B$2),-1))</f>
        <v>1370</v>
      </c>
      <c r="I10" s="7" t="n">
        <f aca="false">IF(H10="","",E10*H10)</f>
        <v>8220</v>
      </c>
    </row>
    <row r="11" customFormat="false" ht="15" hidden="false" customHeight="false" outlineLevel="0" collapsed="false">
      <c r="A11" s="5" t="n">
        <v>7</v>
      </c>
      <c r="B11" s="5" t="n">
        <v>217</v>
      </c>
      <c r="C11" s="5" t="s">
        <v>21</v>
      </c>
      <c r="D11" s="5" t="s">
        <v>12</v>
      </c>
      <c r="E11" s="5" t="n">
        <v>24</v>
      </c>
      <c r="F11" s="6" t="n">
        <v>1000</v>
      </c>
      <c r="G11" s="5" t="s">
        <v>13</v>
      </c>
      <c r="H11" s="7" t="n">
        <f aca="false">IF(F11="","",ROUND(F11*(1-$B$2),-1))</f>
        <v>980</v>
      </c>
      <c r="I11" s="7" t="n">
        <f aca="false">IF(H11="","",E11*H11)</f>
        <v>23520</v>
      </c>
    </row>
    <row r="12" customFormat="false" ht="15" hidden="false" customHeight="false" outlineLevel="0" collapsed="false">
      <c r="A12" s="5" t="n">
        <v>8</v>
      </c>
      <c r="B12" s="5" t="n">
        <v>217</v>
      </c>
      <c r="C12" s="5" t="s">
        <v>22</v>
      </c>
      <c r="D12" s="5" t="s">
        <v>19</v>
      </c>
      <c r="E12" s="5" t="n">
        <v>3</v>
      </c>
      <c r="F12" s="6" t="n">
        <v>270000</v>
      </c>
      <c r="G12" s="5" t="s">
        <v>13</v>
      </c>
      <c r="H12" s="7" t="n">
        <f aca="false">IF(F12="","",ROUND(F12*(1-$B$2),-1))</f>
        <v>264600</v>
      </c>
      <c r="I12" s="7" t="n">
        <f aca="false">IF(H12="","",E12*H12)</f>
        <v>793800</v>
      </c>
    </row>
    <row r="13" customFormat="false" ht="15" hidden="false" customHeight="false" outlineLevel="0" collapsed="false">
      <c r="A13" s="5" t="n">
        <v>9</v>
      </c>
      <c r="B13" s="5" t="n">
        <v>217</v>
      </c>
      <c r="C13" s="5" t="s">
        <v>23</v>
      </c>
      <c r="D13" s="5" t="s">
        <v>19</v>
      </c>
      <c r="E13" s="5" t="n">
        <v>4</v>
      </c>
      <c r="F13" s="6" t="n">
        <v>14000</v>
      </c>
      <c r="G13" s="5" t="s">
        <v>13</v>
      </c>
      <c r="H13" s="7" t="n">
        <f aca="false">IF(F13="","",ROUND(F13*(1-$B$2),-1))</f>
        <v>13720</v>
      </c>
      <c r="I13" s="7" t="n">
        <f aca="false">IF(H13="","",E13*H13)</f>
        <v>54880</v>
      </c>
    </row>
    <row r="14" customFormat="false" ht="15" hidden="false" customHeight="false" outlineLevel="0" collapsed="false">
      <c r="A14" s="5" t="n">
        <v>10</v>
      </c>
      <c r="B14" s="5" t="n">
        <v>217</v>
      </c>
      <c r="C14" s="5" t="s">
        <v>24</v>
      </c>
      <c r="D14" s="5" t="s">
        <v>19</v>
      </c>
      <c r="E14" s="5" t="n">
        <v>4</v>
      </c>
      <c r="F14" s="6" t="n">
        <v>14000</v>
      </c>
      <c r="G14" s="5" t="s">
        <v>13</v>
      </c>
      <c r="H14" s="7" t="n">
        <f aca="false">IF(F14="","",ROUND(F14*(1-$B$2),-1))</f>
        <v>13720</v>
      </c>
      <c r="I14" s="7" t="n">
        <f aca="false">IF(H14="","",E14*H14)</f>
        <v>54880</v>
      </c>
    </row>
    <row r="15" customFormat="false" ht="15" hidden="false" customHeight="false" outlineLevel="0" collapsed="false">
      <c r="A15" s="5" t="n">
        <v>11</v>
      </c>
      <c r="B15" s="5" t="n">
        <v>217</v>
      </c>
      <c r="C15" s="5" t="s">
        <v>25</v>
      </c>
      <c r="D15" s="5" t="s">
        <v>19</v>
      </c>
      <c r="E15" s="5" t="n">
        <v>3</v>
      </c>
      <c r="F15" s="6"/>
      <c r="G15" s="5"/>
      <c r="H15" s="7" t="str">
        <f aca="false">IF(F15="","",ROUND(F15*(1-$B$2),-1))</f>
        <v/>
      </c>
      <c r="I15" s="7" t="str">
        <f aca="false">IF(H15="","",E15*H15)</f>
        <v/>
      </c>
    </row>
    <row r="16" customFormat="false" ht="15" hidden="false" customHeight="false" outlineLevel="0" collapsed="false">
      <c r="A16" s="5" t="n">
        <v>12</v>
      </c>
      <c r="B16" s="5" t="n">
        <v>217</v>
      </c>
      <c r="C16" s="5" t="s">
        <v>26</v>
      </c>
      <c r="D16" s="5" t="s">
        <v>19</v>
      </c>
      <c r="E16" s="5" t="n">
        <v>3</v>
      </c>
      <c r="F16" s="6"/>
      <c r="G16" s="5"/>
      <c r="H16" s="7" t="str">
        <f aca="false">IF(F16="","",ROUND(F16*(1-$B$2),-1))</f>
        <v/>
      </c>
      <c r="I16" s="7" t="str">
        <f aca="false">IF(H16="","",E16*H16)</f>
        <v/>
      </c>
    </row>
    <row r="17" customFormat="false" ht="15" hidden="false" customHeight="false" outlineLevel="0" collapsed="false">
      <c r="A17" s="5" t="n">
        <v>13</v>
      </c>
      <c r="B17" s="5" t="n">
        <v>217</v>
      </c>
      <c r="C17" s="5" t="s">
        <v>27</v>
      </c>
      <c r="D17" s="5" t="s">
        <v>19</v>
      </c>
      <c r="E17" s="5" t="n">
        <v>4</v>
      </c>
      <c r="F17" s="6" t="n">
        <v>18525</v>
      </c>
      <c r="G17" s="5" t="s">
        <v>16</v>
      </c>
      <c r="H17" s="7" t="n">
        <f aca="false">IF(F17="","",ROUND(F17*(1-$B$2),-1))</f>
        <v>18150</v>
      </c>
      <c r="I17" s="7" t="n">
        <f aca="false">IF(H17="","",E17*H17)</f>
        <v>72600</v>
      </c>
    </row>
    <row r="18" customFormat="false" ht="15" hidden="false" customHeight="false" outlineLevel="0" collapsed="false">
      <c r="A18" s="5" t="n">
        <v>14</v>
      </c>
      <c r="B18" s="5" t="n">
        <v>217</v>
      </c>
      <c r="C18" s="5" t="s">
        <v>28</v>
      </c>
      <c r="D18" s="5" t="s">
        <v>19</v>
      </c>
      <c r="E18" s="5" t="n">
        <v>4</v>
      </c>
      <c r="F18" s="6"/>
      <c r="G18" s="5"/>
      <c r="H18" s="7" t="str">
        <f aca="false">IF(F18="","",ROUND(F18*(1-$B$2),-1))</f>
        <v/>
      </c>
      <c r="I18" s="7" t="str">
        <f aca="false">IF(H18="","",E18*H18)</f>
        <v/>
      </c>
    </row>
    <row r="19" customFormat="false" ht="15" hidden="false" customHeight="false" outlineLevel="0" collapsed="false">
      <c r="A19" s="5" t="n">
        <v>15</v>
      </c>
      <c r="B19" s="5" t="n">
        <v>217</v>
      </c>
      <c r="C19" s="5" t="s">
        <v>29</v>
      </c>
      <c r="D19" s="5" t="s">
        <v>19</v>
      </c>
      <c r="E19" s="5" t="n">
        <v>4</v>
      </c>
      <c r="F19" s="6"/>
      <c r="G19" s="5"/>
      <c r="H19" s="7" t="str">
        <f aca="false">IF(F19="","",ROUND(F19*(1-$B$2),-1))</f>
        <v/>
      </c>
      <c r="I19" s="7" t="str">
        <f aca="false">IF(H19="","",E19*H19)</f>
        <v/>
      </c>
    </row>
    <row r="20" customFormat="false" ht="15" hidden="false" customHeight="false" outlineLevel="0" collapsed="false">
      <c r="A20" s="5" t="n">
        <v>16</v>
      </c>
      <c r="B20" s="5" t="n">
        <v>217</v>
      </c>
      <c r="C20" s="5" t="s">
        <v>30</v>
      </c>
      <c r="D20" s="5" t="s">
        <v>19</v>
      </c>
      <c r="E20" s="5" t="n">
        <v>4</v>
      </c>
      <c r="F20" s="6" t="n">
        <v>5500</v>
      </c>
      <c r="G20" s="5" t="s">
        <v>16</v>
      </c>
      <c r="H20" s="7" t="n">
        <f aca="false">IF(F20="","",ROUND(F20*(1-$B$2),-1))</f>
        <v>5390</v>
      </c>
      <c r="I20" s="7" t="n">
        <f aca="false">IF(H20="","",E20*H20)</f>
        <v>21560</v>
      </c>
    </row>
    <row r="21" customFormat="false" ht="15" hidden="false" customHeight="false" outlineLevel="0" collapsed="false">
      <c r="A21" s="5" t="n">
        <v>17</v>
      </c>
      <c r="B21" s="5" t="n">
        <v>217</v>
      </c>
      <c r="C21" s="5" t="s">
        <v>31</v>
      </c>
      <c r="D21" s="5" t="s">
        <v>19</v>
      </c>
      <c r="E21" s="5" t="n">
        <v>4</v>
      </c>
      <c r="F21" s="6"/>
      <c r="G21" s="5"/>
      <c r="H21" s="7" t="str">
        <f aca="false">IF(F21="","",ROUND(F21*(1-$B$2),-1))</f>
        <v/>
      </c>
      <c r="I21" s="7" t="str">
        <f aca="false">IF(H21="","",E21*H21)</f>
        <v/>
      </c>
    </row>
    <row r="22" customFormat="false" ht="15" hidden="false" customHeight="false" outlineLevel="0" collapsed="false">
      <c r="A22" s="5" t="n">
        <v>18</v>
      </c>
      <c r="B22" s="5" t="n">
        <v>217</v>
      </c>
      <c r="C22" s="5" t="s">
        <v>32</v>
      </c>
      <c r="D22" s="5" t="s">
        <v>19</v>
      </c>
      <c r="E22" s="5" t="n">
        <v>4</v>
      </c>
      <c r="F22" s="6"/>
      <c r="G22" s="5"/>
      <c r="H22" s="7" t="str">
        <f aca="false">IF(F22="","",ROUND(F22*(1-$B$2),-1))</f>
        <v/>
      </c>
      <c r="I22" s="7" t="str">
        <f aca="false">IF(H22="","",E22*H22)</f>
        <v/>
      </c>
    </row>
    <row r="23" customFormat="false" ht="15" hidden="false" customHeight="false" outlineLevel="0" collapsed="false">
      <c r="A23" s="5" t="n">
        <v>19</v>
      </c>
      <c r="B23" s="5" t="n">
        <v>217</v>
      </c>
      <c r="C23" s="5" t="s">
        <v>33</v>
      </c>
      <c r="D23" s="5" t="s">
        <v>19</v>
      </c>
      <c r="E23" s="5" t="n">
        <v>4</v>
      </c>
      <c r="F23" s="6"/>
      <c r="G23" s="5"/>
      <c r="H23" s="7" t="str">
        <f aca="false">IF(F23="","",ROUND(F23*(1-$B$2),-1))</f>
        <v/>
      </c>
      <c r="I23" s="7" t="str">
        <f aca="false">IF(H23="","",E23*H23)</f>
        <v/>
      </c>
    </row>
    <row r="24" customFormat="false" ht="15" hidden="false" customHeight="false" outlineLevel="0" collapsed="false">
      <c r="A24" s="5" t="n">
        <v>20</v>
      </c>
      <c r="B24" s="5" t="n">
        <v>217</v>
      </c>
      <c r="C24" s="5" t="s">
        <v>34</v>
      </c>
      <c r="D24" s="5" t="s">
        <v>19</v>
      </c>
      <c r="E24" s="5" t="n">
        <v>3</v>
      </c>
      <c r="F24" s="6" t="n">
        <v>950</v>
      </c>
      <c r="G24" s="5" t="s">
        <v>16</v>
      </c>
      <c r="H24" s="7" t="n">
        <f aca="false">IF(F24="","",ROUND(F24*(1-$B$2),-1))</f>
        <v>930</v>
      </c>
      <c r="I24" s="7" t="n">
        <f aca="false">IF(H24="","",E24*H24)</f>
        <v>2790</v>
      </c>
    </row>
    <row r="25" customFormat="false" ht="15" hidden="false" customHeight="false" outlineLevel="0" collapsed="false">
      <c r="A25" s="5" t="n">
        <v>21</v>
      </c>
      <c r="B25" s="5" t="n">
        <v>217</v>
      </c>
      <c r="C25" s="5" t="s">
        <v>35</v>
      </c>
      <c r="D25" s="5" t="s">
        <v>19</v>
      </c>
      <c r="E25" s="5" t="n">
        <v>3</v>
      </c>
      <c r="F25" s="6"/>
      <c r="G25" s="5"/>
      <c r="H25" s="7" t="str">
        <f aca="false">IF(F25="","",ROUND(F25*(1-$B$2),-1))</f>
        <v/>
      </c>
      <c r="I25" s="7" t="str">
        <f aca="false">IF(H25="","",E25*H25)</f>
        <v/>
      </c>
    </row>
    <row r="26" customFormat="false" ht="15" hidden="false" customHeight="false" outlineLevel="0" collapsed="false">
      <c r="A26" s="5" t="n">
        <v>22</v>
      </c>
      <c r="B26" s="5" t="n">
        <v>217</v>
      </c>
      <c r="C26" s="5" t="s">
        <v>36</v>
      </c>
      <c r="D26" s="5" t="s">
        <v>19</v>
      </c>
      <c r="E26" s="5" t="n">
        <v>3</v>
      </c>
      <c r="F26" s="6"/>
      <c r="G26" s="5"/>
      <c r="H26" s="7" t="str">
        <f aca="false">IF(F26="","",ROUND(F26*(1-$B$2),-1))</f>
        <v/>
      </c>
      <c r="I26" s="7" t="str">
        <f aca="false">IF(H26="","",E26*H26)</f>
        <v/>
      </c>
    </row>
    <row r="27" customFormat="false" ht="15" hidden="false" customHeight="false" outlineLevel="0" collapsed="false">
      <c r="A27" s="5" t="n">
        <v>23</v>
      </c>
      <c r="B27" s="5" t="n">
        <v>217</v>
      </c>
      <c r="C27" s="5" t="s">
        <v>37</v>
      </c>
      <c r="D27" s="5" t="s">
        <v>19</v>
      </c>
      <c r="E27" s="5" t="n">
        <v>4</v>
      </c>
      <c r="F27" s="6" t="n">
        <v>2850</v>
      </c>
      <c r="G27" s="5" t="s">
        <v>16</v>
      </c>
      <c r="H27" s="7" t="n">
        <f aca="false">IF(F27="","",ROUND(F27*(1-$B$2),-1))</f>
        <v>2790</v>
      </c>
      <c r="I27" s="7" t="n">
        <f aca="false">IF(H27="","",E27*H27)</f>
        <v>11160</v>
      </c>
    </row>
    <row r="28" customFormat="false" ht="15" hidden="false" customHeight="false" outlineLevel="0" collapsed="false">
      <c r="A28" s="5" t="n">
        <v>24</v>
      </c>
      <c r="B28" s="5" t="n">
        <v>217</v>
      </c>
      <c r="C28" s="5" t="s">
        <v>38</v>
      </c>
      <c r="D28" s="5" t="s">
        <v>19</v>
      </c>
      <c r="E28" s="5" t="n">
        <v>4</v>
      </c>
      <c r="F28" s="6"/>
      <c r="G28" s="5"/>
      <c r="H28" s="7" t="str">
        <f aca="false">IF(F28="","",ROUND(F28*(1-$B$2),-1))</f>
        <v/>
      </c>
      <c r="I28" s="7" t="str">
        <f aca="false">IF(H28="","",E28*H28)</f>
        <v/>
      </c>
    </row>
    <row r="29" customFormat="false" ht="15" hidden="false" customHeight="false" outlineLevel="0" collapsed="false">
      <c r="A29" s="5" t="n">
        <v>25</v>
      </c>
      <c r="B29" s="5" t="n">
        <v>217</v>
      </c>
      <c r="C29" s="5" t="s">
        <v>39</v>
      </c>
      <c r="D29" s="5" t="s">
        <v>19</v>
      </c>
      <c r="E29" s="5" t="n">
        <v>4</v>
      </c>
      <c r="F29" s="6" t="n">
        <v>2850</v>
      </c>
      <c r="G29" s="5" t="s">
        <v>16</v>
      </c>
      <c r="H29" s="7" t="n">
        <f aca="false">IF(F29="","",ROUND(F29*(1-$B$2),-1))</f>
        <v>2790</v>
      </c>
      <c r="I29" s="7" t="n">
        <f aca="false">IF(H29="","",E29*H29)</f>
        <v>11160</v>
      </c>
    </row>
    <row r="30" customFormat="false" ht="15" hidden="false" customHeight="false" outlineLevel="0" collapsed="false">
      <c r="A30" s="5" t="n">
        <v>26</v>
      </c>
      <c r="B30" s="5" t="n">
        <v>217</v>
      </c>
      <c r="C30" s="5" t="s">
        <v>40</v>
      </c>
      <c r="D30" s="5" t="s">
        <v>19</v>
      </c>
      <c r="E30" s="5" t="n">
        <v>4</v>
      </c>
      <c r="F30" s="6"/>
      <c r="G30" s="5"/>
      <c r="H30" s="7" t="str">
        <f aca="false">IF(F30="","",ROUND(F30*(1-$B$2),-1))</f>
        <v/>
      </c>
      <c r="I30" s="7" t="str">
        <f aca="false">IF(H30="","",E30*H30)</f>
        <v/>
      </c>
    </row>
    <row r="31" customFormat="false" ht="15" hidden="false" customHeight="false" outlineLevel="0" collapsed="false">
      <c r="A31" s="5" t="n">
        <v>27</v>
      </c>
      <c r="B31" s="5" t="n">
        <v>217</v>
      </c>
      <c r="C31" s="5" t="s">
        <v>41</v>
      </c>
      <c r="D31" s="5" t="s">
        <v>19</v>
      </c>
      <c r="E31" s="5" t="n">
        <v>4</v>
      </c>
      <c r="F31" s="6"/>
      <c r="G31" s="5"/>
      <c r="H31" s="7" t="str">
        <f aca="false">IF(F31="","",ROUND(F31*(1-$B$2),-1))</f>
        <v/>
      </c>
      <c r="I31" s="7" t="str">
        <f aca="false">IF(H31="","",E31*H31)</f>
        <v/>
      </c>
    </row>
    <row r="32" customFormat="false" ht="15" hidden="false" customHeight="false" outlineLevel="0" collapsed="false">
      <c r="A32" s="5" t="n">
        <v>28</v>
      </c>
      <c r="B32" s="5" t="n">
        <v>217</v>
      </c>
      <c r="C32" s="5" t="s">
        <v>42</v>
      </c>
      <c r="D32" s="5" t="s">
        <v>19</v>
      </c>
      <c r="E32" s="5" t="n">
        <v>3</v>
      </c>
      <c r="F32" s="6"/>
      <c r="G32" s="5"/>
      <c r="H32" s="7" t="str">
        <f aca="false">IF(F32="","",ROUND(F32*(1-$B$2),-1))</f>
        <v/>
      </c>
      <c r="I32" s="7" t="str">
        <f aca="false">IF(H32="","",E32*H32)</f>
        <v/>
      </c>
    </row>
    <row r="33" customFormat="false" ht="15" hidden="false" customHeight="false" outlineLevel="0" collapsed="false">
      <c r="A33" s="5" t="n">
        <v>29</v>
      </c>
      <c r="B33" s="5" t="n">
        <v>217</v>
      </c>
      <c r="C33" s="5" t="s">
        <v>43</v>
      </c>
      <c r="D33" s="5" t="s">
        <v>19</v>
      </c>
      <c r="E33" s="5" t="n">
        <v>3</v>
      </c>
      <c r="F33" s="6"/>
      <c r="G33" s="5"/>
      <c r="H33" s="7" t="str">
        <f aca="false">IF(F33="","",ROUND(F33*(1-$B$2),-1))</f>
        <v/>
      </c>
      <c r="I33" s="7" t="str">
        <f aca="false">IF(H33="","",E33*H33)</f>
        <v/>
      </c>
    </row>
    <row r="34" customFormat="false" ht="15" hidden="false" customHeight="false" outlineLevel="0" collapsed="false">
      <c r="A34" s="5" t="n">
        <v>30</v>
      </c>
      <c r="B34" s="5" t="n">
        <v>217</v>
      </c>
      <c r="C34" s="5" t="s">
        <v>44</v>
      </c>
      <c r="D34" s="5" t="s">
        <v>19</v>
      </c>
      <c r="E34" s="5" t="n">
        <v>4</v>
      </c>
      <c r="F34" s="6" t="n">
        <v>8400</v>
      </c>
      <c r="G34" s="5" t="s">
        <v>13</v>
      </c>
      <c r="H34" s="7" t="n">
        <f aca="false">IF(F34="","",ROUND(F34*(1-$B$2),-1))</f>
        <v>8230</v>
      </c>
      <c r="I34" s="7" t="n">
        <f aca="false">IF(H34="","",E34*H34)</f>
        <v>32920</v>
      </c>
    </row>
    <row r="35" customFormat="false" ht="15" hidden="false" customHeight="false" outlineLevel="0" collapsed="false">
      <c r="A35" s="5" t="n">
        <v>31</v>
      </c>
      <c r="B35" s="5" t="n">
        <v>217</v>
      </c>
      <c r="C35" s="5" t="s">
        <v>45</v>
      </c>
      <c r="D35" s="5" t="s">
        <v>19</v>
      </c>
      <c r="E35" s="5" t="n">
        <v>3</v>
      </c>
      <c r="F35" s="6" t="n">
        <v>3200</v>
      </c>
      <c r="G35" s="5" t="s">
        <v>13</v>
      </c>
      <c r="H35" s="7" t="n">
        <f aca="false">IF(F35="","",ROUND(F35*(1-$B$2),-1))</f>
        <v>3140</v>
      </c>
      <c r="I35" s="7" t="n">
        <f aca="false">IF(H35="","",E35*H35)</f>
        <v>9420</v>
      </c>
    </row>
    <row r="36" customFormat="false" ht="15" hidden="false" customHeight="false" outlineLevel="0" collapsed="false">
      <c r="A36" s="5" t="n">
        <v>32</v>
      </c>
      <c r="B36" s="5" t="n">
        <v>217</v>
      </c>
      <c r="C36" s="5" t="s">
        <v>46</v>
      </c>
      <c r="D36" s="5" t="s">
        <v>19</v>
      </c>
      <c r="E36" s="5" t="n">
        <v>3</v>
      </c>
      <c r="F36" s="6" t="n">
        <v>4000</v>
      </c>
      <c r="G36" s="5" t="s">
        <v>13</v>
      </c>
      <c r="H36" s="7" t="n">
        <f aca="false">IF(F36="","",ROUND(F36*(1-$B$2),-1))</f>
        <v>3920</v>
      </c>
      <c r="I36" s="7" t="n">
        <f aca="false">IF(H36="","",E36*H36)</f>
        <v>11760</v>
      </c>
    </row>
    <row r="37" customFormat="false" ht="15" hidden="false" customHeight="false" outlineLevel="0" collapsed="false">
      <c r="A37" s="5" t="n">
        <v>33</v>
      </c>
      <c r="B37" s="5" t="n">
        <v>217</v>
      </c>
      <c r="C37" s="5" t="s">
        <v>47</v>
      </c>
      <c r="D37" s="5" t="s">
        <v>19</v>
      </c>
      <c r="E37" s="5" t="n">
        <v>3</v>
      </c>
      <c r="F37" s="6" t="n">
        <v>10925</v>
      </c>
      <c r="G37" s="5" t="s">
        <v>16</v>
      </c>
      <c r="H37" s="7" t="n">
        <f aca="false">IF(F37="","",ROUND(F37*(1-$B$2),-1))</f>
        <v>10710</v>
      </c>
      <c r="I37" s="7" t="n">
        <f aca="false">IF(H37="","",E37*H37)</f>
        <v>32130</v>
      </c>
    </row>
    <row r="38" customFormat="false" ht="15" hidden="false" customHeight="false" outlineLevel="0" collapsed="false">
      <c r="A38" s="5" t="n">
        <v>34</v>
      </c>
      <c r="B38" s="5" t="n">
        <v>217</v>
      </c>
      <c r="C38" s="5" t="s">
        <v>48</v>
      </c>
      <c r="D38" s="5" t="s">
        <v>19</v>
      </c>
      <c r="E38" s="5" t="n">
        <v>2</v>
      </c>
      <c r="F38" s="6" t="n">
        <v>20000</v>
      </c>
      <c r="G38" s="5" t="s">
        <v>13</v>
      </c>
      <c r="H38" s="7" t="n">
        <f aca="false">IF(F38="","",ROUND(F38*(1-$B$2),-1))</f>
        <v>19600</v>
      </c>
      <c r="I38" s="7" t="n">
        <f aca="false">IF(H38="","",E38*H38)</f>
        <v>39200</v>
      </c>
    </row>
    <row r="39" customFormat="false" ht="15" hidden="false" customHeight="false" outlineLevel="0" collapsed="false">
      <c r="A39" s="5" t="n">
        <v>35</v>
      </c>
      <c r="B39" s="5" t="n">
        <v>217</v>
      </c>
      <c r="C39" s="5" t="s">
        <v>49</v>
      </c>
      <c r="D39" s="5" t="s">
        <v>19</v>
      </c>
      <c r="E39" s="5" t="n">
        <v>2</v>
      </c>
      <c r="F39" s="6" t="n">
        <v>34200</v>
      </c>
      <c r="G39" s="5" t="s">
        <v>16</v>
      </c>
      <c r="H39" s="7" t="n">
        <f aca="false">IF(F39="","",ROUND(F39*(1-$B$2),-1))</f>
        <v>33520</v>
      </c>
      <c r="I39" s="7" t="n">
        <f aca="false">IF(H39="","",E39*H39)</f>
        <v>67040</v>
      </c>
    </row>
    <row r="40" customFormat="false" ht="15" hidden="false" customHeight="false" outlineLevel="0" collapsed="false">
      <c r="A40" s="5" t="n">
        <v>36</v>
      </c>
      <c r="B40" s="5" t="n">
        <v>217</v>
      </c>
      <c r="C40" s="5" t="s">
        <v>50</v>
      </c>
      <c r="D40" s="5" t="s">
        <v>19</v>
      </c>
      <c r="E40" s="5" t="n">
        <v>3</v>
      </c>
      <c r="F40" s="6" t="n">
        <v>6840</v>
      </c>
      <c r="G40" s="5" t="s">
        <v>13</v>
      </c>
      <c r="H40" s="7" t="n">
        <f aca="false">IF(F40="","",ROUND(F40*(1-$B$2),-1))</f>
        <v>6700</v>
      </c>
      <c r="I40" s="7" t="n">
        <f aca="false">IF(H40="","",E40*H40)</f>
        <v>20100</v>
      </c>
    </row>
    <row r="41" customFormat="false" ht="15" hidden="false" customHeight="false" outlineLevel="0" collapsed="false">
      <c r="A41" s="5" t="n">
        <v>37</v>
      </c>
      <c r="B41" s="5" t="n">
        <v>217</v>
      </c>
      <c r="C41" s="5" t="s">
        <v>51</v>
      </c>
      <c r="D41" s="5" t="s">
        <v>19</v>
      </c>
      <c r="E41" s="5" t="n">
        <v>3</v>
      </c>
      <c r="F41" s="6" t="n">
        <v>8300</v>
      </c>
      <c r="G41" s="5" t="s">
        <v>13</v>
      </c>
      <c r="H41" s="7" t="n">
        <f aca="false">IF(F41="","",ROUND(F41*(1-$B$2),-1))</f>
        <v>8130</v>
      </c>
      <c r="I41" s="7" t="n">
        <f aca="false">IF(H41="","",E41*H41)</f>
        <v>24390</v>
      </c>
    </row>
    <row r="42" customFormat="false" ht="15" hidden="false" customHeight="false" outlineLevel="0" collapsed="false">
      <c r="A42" s="5" t="n">
        <v>38</v>
      </c>
      <c r="B42" s="5" t="n">
        <v>217</v>
      </c>
      <c r="C42" s="5" t="s">
        <v>52</v>
      </c>
      <c r="D42" s="5" t="s">
        <v>19</v>
      </c>
      <c r="E42" s="5" t="n">
        <v>3</v>
      </c>
      <c r="F42" s="6"/>
      <c r="G42" s="5"/>
      <c r="H42" s="7" t="str">
        <f aca="false">IF(F42="","",ROUND(F42*(1-$B$2),-1))</f>
        <v/>
      </c>
      <c r="I42" s="7" t="str">
        <f aca="false">IF(H42="","",E42*H42)</f>
        <v/>
      </c>
    </row>
    <row r="43" customFormat="false" ht="15" hidden="false" customHeight="false" outlineLevel="0" collapsed="false">
      <c r="A43" s="5" t="n">
        <v>39</v>
      </c>
      <c r="B43" s="5" t="n">
        <v>217</v>
      </c>
      <c r="C43" s="5" t="s">
        <v>53</v>
      </c>
      <c r="D43" s="5" t="s">
        <v>19</v>
      </c>
      <c r="E43" s="5" t="n">
        <v>3</v>
      </c>
      <c r="F43" s="6"/>
      <c r="G43" s="5"/>
      <c r="H43" s="7" t="str">
        <f aca="false">IF(F43="","",ROUND(F43*(1-$B$2),-1))</f>
        <v/>
      </c>
      <c r="I43" s="7" t="str">
        <f aca="false">IF(H43="","",E43*H43)</f>
        <v/>
      </c>
    </row>
    <row r="44" customFormat="false" ht="15" hidden="false" customHeight="false" outlineLevel="0" collapsed="false">
      <c r="A44" s="5" t="n">
        <v>40</v>
      </c>
      <c r="B44" s="5" t="n">
        <v>217</v>
      </c>
      <c r="C44" s="5" t="s">
        <v>54</v>
      </c>
      <c r="D44" s="5" t="s">
        <v>19</v>
      </c>
      <c r="E44" s="5" t="n">
        <v>3</v>
      </c>
      <c r="F44" s="6" t="n">
        <v>77900</v>
      </c>
      <c r="G44" s="5" t="s">
        <v>16</v>
      </c>
      <c r="H44" s="7" t="n">
        <f aca="false">IF(F44="","",ROUND(F44*(1-$B$2),-1))</f>
        <v>76340</v>
      </c>
      <c r="I44" s="7" t="n">
        <f aca="false">IF(H44="","",E44*H44)</f>
        <v>229020</v>
      </c>
    </row>
    <row r="45" customFormat="false" ht="15" hidden="false" customHeight="false" outlineLevel="0" collapsed="false">
      <c r="A45" s="5" t="n">
        <v>41</v>
      </c>
      <c r="B45" s="5" t="n">
        <v>217</v>
      </c>
      <c r="C45" s="5" t="s">
        <v>55</v>
      </c>
      <c r="D45" s="5" t="s">
        <v>19</v>
      </c>
      <c r="E45" s="5" t="n">
        <v>3</v>
      </c>
      <c r="F45" s="6"/>
      <c r="G45" s="5"/>
      <c r="H45" s="7" t="str">
        <f aca="false">IF(F45="","",ROUND(F45*(1-$B$2),-1))</f>
        <v/>
      </c>
      <c r="I45" s="7" t="str">
        <f aca="false">IF(H45="","",E45*H45)</f>
        <v/>
      </c>
    </row>
    <row r="46" customFormat="false" ht="15" hidden="false" customHeight="false" outlineLevel="0" collapsed="false">
      <c r="A46" s="5" t="n">
        <v>42</v>
      </c>
      <c r="B46" s="5" t="n">
        <v>217</v>
      </c>
      <c r="C46" s="5" t="s">
        <v>56</v>
      </c>
      <c r="D46" s="5" t="s">
        <v>19</v>
      </c>
      <c r="E46" s="5" t="n">
        <v>2</v>
      </c>
      <c r="F46" s="6"/>
      <c r="G46" s="5"/>
      <c r="H46" s="7" t="str">
        <f aca="false">IF(F46="","",ROUND(F46*(1-$B$2),-1))</f>
        <v/>
      </c>
      <c r="I46" s="7" t="str">
        <f aca="false">IF(H46="","",E46*H46)</f>
        <v/>
      </c>
    </row>
    <row r="47" customFormat="false" ht="15" hidden="false" customHeight="false" outlineLevel="0" collapsed="false">
      <c r="A47" s="5" t="n">
        <v>43</v>
      </c>
      <c r="B47" s="5" t="n">
        <v>217</v>
      </c>
      <c r="C47" s="5" t="s">
        <v>57</v>
      </c>
      <c r="D47" s="5" t="s">
        <v>19</v>
      </c>
      <c r="E47" s="5" t="n">
        <v>4</v>
      </c>
      <c r="F47" s="6"/>
      <c r="G47" s="5"/>
      <c r="H47" s="7" t="str">
        <f aca="false">IF(F47="","",ROUND(F47*(1-$B$2),-1))</f>
        <v/>
      </c>
      <c r="I47" s="7" t="str">
        <f aca="false">IF(H47="","",E47*H47)</f>
        <v/>
      </c>
    </row>
    <row r="48" customFormat="false" ht="15" hidden="false" customHeight="false" outlineLevel="0" collapsed="false">
      <c r="A48" s="5" t="n">
        <v>44</v>
      </c>
      <c r="B48" s="5" t="n">
        <v>217</v>
      </c>
      <c r="C48" s="5" t="s">
        <v>58</v>
      </c>
      <c r="D48" s="5" t="s">
        <v>19</v>
      </c>
      <c r="E48" s="5" t="n">
        <v>4</v>
      </c>
      <c r="F48" s="6"/>
      <c r="G48" s="5"/>
      <c r="H48" s="7" t="str">
        <f aca="false">IF(F48="","",ROUND(F48*(1-$B$2),-1))</f>
        <v/>
      </c>
      <c r="I48" s="7" t="str">
        <f aca="false">IF(H48="","",E48*H48)</f>
        <v/>
      </c>
    </row>
    <row r="49" customFormat="false" ht="15" hidden="false" customHeight="false" outlineLevel="0" collapsed="false">
      <c r="A49" s="5" t="n">
        <v>45</v>
      </c>
      <c r="B49" s="5" t="n">
        <v>217</v>
      </c>
      <c r="C49" s="5" t="s">
        <v>59</v>
      </c>
      <c r="D49" s="5" t="s">
        <v>19</v>
      </c>
      <c r="E49" s="5" t="n">
        <v>4</v>
      </c>
      <c r="F49" s="6"/>
      <c r="G49" s="5"/>
      <c r="H49" s="7" t="str">
        <f aca="false">IF(F49="","",ROUND(F49*(1-$B$2),-1))</f>
        <v/>
      </c>
      <c r="I49" s="7" t="str">
        <f aca="false">IF(H49="","",E49*H49)</f>
        <v/>
      </c>
    </row>
    <row r="50" customFormat="false" ht="15" hidden="false" customHeight="false" outlineLevel="0" collapsed="false">
      <c r="A50" s="5" t="n">
        <v>46</v>
      </c>
      <c r="B50" s="5" t="n">
        <v>217</v>
      </c>
      <c r="C50" s="5" t="s">
        <v>60</v>
      </c>
      <c r="D50" s="5" t="s">
        <v>19</v>
      </c>
      <c r="E50" s="5" t="n">
        <v>3</v>
      </c>
      <c r="F50" s="6"/>
      <c r="G50" s="5"/>
      <c r="H50" s="7" t="str">
        <f aca="false">IF(F50="","",ROUND(F50*(1-$B$2),-1))</f>
        <v/>
      </c>
      <c r="I50" s="7" t="str">
        <f aca="false">IF(H50="","",E50*H50)</f>
        <v/>
      </c>
    </row>
    <row r="51" customFormat="false" ht="15" hidden="false" customHeight="false" outlineLevel="0" collapsed="false">
      <c r="A51" s="5" t="n">
        <v>47</v>
      </c>
      <c r="B51" s="5" t="n">
        <v>217</v>
      </c>
      <c r="C51" s="5" t="s">
        <v>61</v>
      </c>
      <c r="D51" s="5" t="s">
        <v>19</v>
      </c>
      <c r="E51" s="5" t="n">
        <v>3</v>
      </c>
      <c r="F51" s="6" t="n">
        <v>16500</v>
      </c>
      <c r="G51" s="5" t="s">
        <v>16</v>
      </c>
      <c r="H51" s="7" t="n">
        <f aca="false">IF(F51="","",ROUND(F51*(1-$B$2),-1))</f>
        <v>16170</v>
      </c>
      <c r="I51" s="7" t="n">
        <f aca="false">IF(H51="","",E51*H51)</f>
        <v>48510</v>
      </c>
    </row>
    <row r="52" customFormat="false" ht="15" hidden="false" customHeight="false" outlineLevel="0" collapsed="false">
      <c r="A52" s="5" t="n">
        <v>48</v>
      </c>
      <c r="B52" s="5" t="n">
        <v>217</v>
      </c>
      <c r="C52" s="5" t="s">
        <v>62</v>
      </c>
      <c r="D52" s="5" t="s">
        <v>19</v>
      </c>
      <c r="E52" s="5" t="n">
        <v>2</v>
      </c>
      <c r="F52" s="6" t="n">
        <v>42000</v>
      </c>
      <c r="G52" s="5" t="s">
        <v>16</v>
      </c>
      <c r="H52" s="7" t="n">
        <f aca="false">IF(F52="","",ROUND(F52*(1-$B$2),-1))</f>
        <v>41160</v>
      </c>
      <c r="I52" s="7" t="n">
        <f aca="false">IF(H52="","",E52*H52)</f>
        <v>82320</v>
      </c>
    </row>
    <row r="53" customFormat="false" ht="15" hidden="false" customHeight="false" outlineLevel="0" collapsed="false">
      <c r="A53" s="5" t="n">
        <v>49</v>
      </c>
      <c r="B53" s="5" t="n">
        <v>217</v>
      </c>
      <c r="C53" s="5" t="s">
        <v>63</v>
      </c>
      <c r="D53" s="5" t="s">
        <v>19</v>
      </c>
      <c r="E53" s="5" t="n">
        <v>1</v>
      </c>
      <c r="F53" s="6" t="n">
        <v>29624</v>
      </c>
      <c r="G53" s="5" t="s">
        <v>16</v>
      </c>
      <c r="H53" s="7" t="n">
        <f aca="false">IF(F53="","",ROUND(F53*(1-$B$2),-1))</f>
        <v>29030</v>
      </c>
      <c r="I53" s="7" t="n">
        <f aca="false">IF(H53="","",E53*H53)</f>
        <v>29030</v>
      </c>
    </row>
    <row r="54" customFormat="false" ht="15" hidden="false" customHeight="false" outlineLevel="0" collapsed="false">
      <c r="A54" s="5" t="n">
        <v>50</v>
      </c>
      <c r="B54" s="5" t="n">
        <v>217</v>
      </c>
      <c r="C54" s="5" t="s">
        <v>64</v>
      </c>
      <c r="D54" s="5" t="s">
        <v>19</v>
      </c>
      <c r="E54" s="5" t="n">
        <v>1</v>
      </c>
      <c r="F54" s="6" t="n">
        <v>45000</v>
      </c>
      <c r="G54" s="5" t="s">
        <v>16</v>
      </c>
      <c r="H54" s="7" t="n">
        <f aca="false">IF(F54="","",ROUND(F54*(1-$B$2),-1))</f>
        <v>44100</v>
      </c>
      <c r="I54" s="7" t="n">
        <f aca="false">IF(H54="","",E54*H54)</f>
        <v>44100</v>
      </c>
    </row>
    <row r="55" customFormat="false" ht="15" hidden="false" customHeight="false" outlineLevel="0" collapsed="false">
      <c r="A55" s="5" t="n">
        <v>51</v>
      </c>
      <c r="B55" s="5" t="n">
        <v>217</v>
      </c>
      <c r="C55" s="5" t="s">
        <v>65</v>
      </c>
      <c r="D55" s="5" t="s">
        <v>19</v>
      </c>
      <c r="E55" s="5" t="n">
        <v>1</v>
      </c>
      <c r="F55" s="6" t="n">
        <v>47610</v>
      </c>
      <c r="G55" s="5" t="s">
        <v>16</v>
      </c>
      <c r="H55" s="7" t="n">
        <f aca="false">IF(F55="","",ROUND(F55*(1-$B$2),-1))</f>
        <v>46660</v>
      </c>
      <c r="I55" s="7" t="n">
        <f aca="false">IF(H55="","",E55*H55)</f>
        <v>46660</v>
      </c>
    </row>
    <row r="56" customFormat="false" ht="15" hidden="false" customHeight="false" outlineLevel="0" collapsed="false">
      <c r="A56" s="5" t="n">
        <v>52</v>
      </c>
      <c r="B56" s="5" t="n">
        <v>217</v>
      </c>
      <c r="C56" s="5" t="s">
        <v>66</v>
      </c>
      <c r="D56" s="5" t="s">
        <v>19</v>
      </c>
      <c r="E56" s="5" t="n">
        <v>2</v>
      </c>
      <c r="F56" s="6"/>
      <c r="G56" s="5"/>
      <c r="H56" s="7" t="str">
        <f aca="false">IF(F56="","",ROUND(F56*(1-$B$2),-1))</f>
        <v/>
      </c>
      <c r="I56" s="7" t="str">
        <f aca="false">IF(H56="","",E56*H56)</f>
        <v/>
      </c>
    </row>
    <row r="57" customFormat="false" ht="15" hidden="false" customHeight="false" outlineLevel="0" collapsed="false">
      <c r="A57" s="5" t="n">
        <v>53</v>
      </c>
      <c r="B57" s="5" t="n">
        <v>217</v>
      </c>
      <c r="C57" s="5" t="s">
        <v>67</v>
      </c>
      <c r="D57" s="5" t="s">
        <v>19</v>
      </c>
      <c r="E57" s="5" t="n">
        <v>1</v>
      </c>
      <c r="F57" s="6"/>
      <c r="G57" s="5"/>
      <c r="H57" s="7" t="str">
        <f aca="false">IF(F57="","",ROUND(F57*(1-$B$2),-1))</f>
        <v/>
      </c>
      <c r="I57" s="7" t="str">
        <f aca="false">IF(H57="","",E57*H57)</f>
        <v/>
      </c>
    </row>
    <row r="58" customFormat="false" ht="15" hidden="false" customHeight="false" outlineLevel="0" collapsed="false">
      <c r="A58" s="5" t="n">
        <v>54</v>
      </c>
      <c r="B58" s="5" t="n">
        <v>217</v>
      </c>
      <c r="C58" s="5" t="s">
        <v>68</v>
      </c>
      <c r="D58" s="5" t="s">
        <v>19</v>
      </c>
      <c r="E58" s="5" t="n">
        <v>2</v>
      </c>
      <c r="F58" s="6"/>
      <c r="G58" s="5"/>
      <c r="H58" s="7" t="str">
        <f aca="false">IF(F58="","",ROUND(F58*(1-$B$2),-1))</f>
        <v/>
      </c>
      <c r="I58" s="7" t="str">
        <f aca="false">IF(H58="","",E58*H58)</f>
        <v/>
      </c>
    </row>
    <row r="59" customFormat="false" ht="15" hidden="false" customHeight="false" outlineLevel="0" collapsed="false">
      <c r="A59" s="5" t="n">
        <v>55</v>
      </c>
      <c r="B59" s="5" t="n">
        <v>217</v>
      </c>
      <c r="C59" s="5" t="s">
        <v>69</v>
      </c>
      <c r="D59" s="5" t="s">
        <v>19</v>
      </c>
      <c r="E59" s="5" t="n">
        <v>2</v>
      </c>
      <c r="F59" s="6" t="n">
        <v>36000</v>
      </c>
      <c r="G59" s="5" t="s">
        <v>16</v>
      </c>
      <c r="H59" s="7" t="n">
        <f aca="false">IF(F59="","",ROUND(F59*(1-$B$2),-1))</f>
        <v>35280</v>
      </c>
      <c r="I59" s="7" t="n">
        <f aca="false">IF(H59="","",E59*H59)</f>
        <v>70560</v>
      </c>
    </row>
    <row r="60" customFormat="false" ht="15" hidden="false" customHeight="false" outlineLevel="0" collapsed="false">
      <c r="A60" s="5" t="n">
        <v>56</v>
      </c>
      <c r="B60" s="5" t="n">
        <v>217</v>
      </c>
      <c r="C60" s="5" t="s">
        <v>70</v>
      </c>
      <c r="D60" s="5" t="s">
        <v>19</v>
      </c>
      <c r="E60" s="5" t="n">
        <v>1</v>
      </c>
      <c r="F60" s="6"/>
      <c r="G60" s="5"/>
      <c r="H60" s="7" t="str">
        <f aca="false">IF(F60="","",ROUND(F60*(1-$B$2),-1))</f>
        <v/>
      </c>
      <c r="I60" s="7" t="str">
        <f aca="false">IF(H60="","",E60*H60)</f>
        <v/>
      </c>
    </row>
    <row r="61" customFormat="false" ht="15" hidden="false" customHeight="false" outlineLevel="0" collapsed="false">
      <c r="A61" s="5" t="n">
        <v>57</v>
      </c>
      <c r="B61" s="5" t="n">
        <v>217</v>
      </c>
      <c r="C61" s="5" t="s">
        <v>71</v>
      </c>
      <c r="D61" s="5" t="s">
        <v>19</v>
      </c>
      <c r="E61" s="5" t="n">
        <v>4</v>
      </c>
      <c r="F61" s="6"/>
      <c r="G61" s="5"/>
      <c r="H61" s="7" t="str">
        <f aca="false">IF(F61="","",ROUND(F61*(1-$B$2),-1))</f>
        <v/>
      </c>
      <c r="I61" s="7" t="str">
        <f aca="false">IF(H61="","",E61*H61)</f>
        <v/>
      </c>
    </row>
    <row r="62" customFormat="false" ht="15" hidden="false" customHeight="false" outlineLevel="0" collapsed="false">
      <c r="A62" s="5" t="n">
        <v>58</v>
      </c>
      <c r="B62" s="5" t="n">
        <v>217</v>
      </c>
      <c r="C62" s="5" t="s">
        <v>72</v>
      </c>
      <c r="D62" s="5" t="s">
        <v>19</v>
      </c>
      <c r="E62" s="5" t="n">
        <v>12</v>
      </c>
      <c r="F62" s="6"/>
      <c r="G62" s="5"/>
      <c r="H62" s="7" t="str">
        <f aca="false">IF(F62="","",ROUND(F62*(1-$B$2),-1))</f>
        <v/>
      </c>
      <c r="I62" s="7" t="str">
        <f aca="false">IF(H62="","",E62*H62)</f>
        <v/>
      </c>
    </row>
    <row r="63" customFormat="false" ht="15" hidden="false" customHeight="false" outlineLevel="0" collapsed="false">
      <c r="A63" s="5" t="n">
        <v>59</v>
      </c>
      <c r="B63" s="5" t="n">
        <v>217</v>
      </c>
      <c r="C63" s="5" t="s">
        <v>73</v>
      </c>
      <c r="D63" s="5" t="s">
        <v>19</v>
      </c>
      <c r="E63" s="5" t="n">
        <v>12</v>
      </c>
      <c r="F63" s="6"/>
      <c r="G63" s="5"/>
      <c r="H63" s="7" t="str">
        <f aca="false">IF(F63="","",ROUND(F63*(1-$B$2),-1))</f>
        <v/>
      </c>
      <c r="I63" s="7" t="str">
        <f aca="false">IF(H63="","",E63*H63)</f>
        <v/>
      </c>
    </row>
    <row r="64" customFormat="false" ht="15" hidden="false" customHeight="false" outlineLevel="0" collapsed="false">
      <c r="A64" s="5" t="n">
        <v>60</v>
      </c>
      <c r="B64" s="5" t="n">
        <v>217</v>
      </c>
      <c r="C64" s="5" t="s">
        <v>74</v>
      </c>
      <c r="D64" s="5" t="s">
        <v>19</v>
      </c>
      <c r="E64" s="5" t="n">
        <v>2</v>
      </c>
      <c r="F64" s="6" t="n">
        <v>12696</v>
      </c>
      <c r="G64" s="5" t="s">
        <v>16</v>
      </c>
      <c r="H64" s="7" t="n">
        <f aca="false">IF(F64="","",ROUND(F64*(1-$B$2),-1))</f>
        <v>12440</v>
      </c>
      <c r="I64" s="7" t="n">
        <f aca="false">IF(H64="","",E64*H64)</f>
        <v>24880</v>
      </c>
    </row>
    <row r="65" customFormat="false" ht="15" hidden="false" customHeight="false" outlineLevel="0" collapsed="false">
      <c r="A65" s="5" t="n">
        <v>61</v>
      </c>
      <c r="B65" s="5" t="n">
        <v>217</v>
      </c>
      <c r="C65" s="5" t="s">
        <v>75</v>
      </c>
      <c r="D65" s="5" t="s">
        <v>19</v>
      </c>
      <c r="E65" s="5" t="n">
        <v>2</v>
      </c>
      <c r="F65" s="6" t="n">
        <v>3000</v>
      </c>
      <c r="G65" s="5" t="s">
        <v>16</v>
      </c>
      <c r="H65" s="7" t="n">
        <f aca="false">IF(F65="","",ROUND(F65*(1-$B$2),-1))</f>
        <v>2940</v>
      </c>
      <c r="I65" s="7" t="n">
        <f aca="false">IF(H65="","",E65*H65)</f>
        <v>5880</v>
      </c>
    </row>
    <row r="66" customFormat="false" ht="15" hidden="false" customHeight="false" outlineLevel="0" collapsed="false">
      <c r="A66" s="5" t="n">
        <v>62</v>
      </c>
      <c r="B66" s="5" t="n">
        <v>217</v>
      </c>
      <c r="C66" s="5" t="s">
        <v>76</v>
      </c>
      <c r="D66" s="5" t="s">
        <v>19</v>
      </c>
      <c r="E66" s="5" t="n">
        <v>3</v>
      </c>
      <c r="F66" s="6"/>
      <c r="G66" s="5"/>
      <c r="H66" s="7" t="str">
        <f aca="false">IF(F66="","",ROUND(F66*(1-$B$2),-1))</f>
        <v/>
      </c>
      <c r="I66" s="7" t="str">
        <f aca="false">IF(H66="","",E66*H66)</f>
        <v/>
      </c>
    </row>
    <row r="67" customFormat="false" ht="15" hidden="false" customHeight="false" outlineLevel="0" collapsed="false">
      <c r="A67" s="5" t="n">
        <v>63</v>
      </c>
      <c r="B67" s="5" t="n">
        <v>217</v>
      </c>
      <c r="C67" s="5" t="s">
        <v>77</v>
      </c>
      <c r="D67" s="5" t="s">
        <v>19</v>
      </c>
      <c r="E67" s="5" t="n">
        <v>1</v>
      </c>
      <c r="F67" s="6" t="n">
        <v>11638</v>
      </c>
      <c r="G67" s="5" t="s">
        <v>16</v>
      </c>
      <c r="H67" s="7" t="n">
        <f aca="false">IF(F67="","",ROUND(F67*(1-$B$2),-1))</f>
        <v>11410</v>
      </c>
      <c r="I67" s="7" t="n">
        <f aca="false">IF(H67="","",E67*H67)</f>
        <v>11410</v>
      </c>
    </row>
    <row r="68" customFormat="false" ht="15" hidden="false" customHeight="false" outlineLevel="0" collapsed="false">
      <c r="A68" s="5" t="n">
        <v>64</v>
      </c>
      <c r="B68" s="5" t="n">
        <v>217</v>
      </c>
      <c r="C68" s="5" t="s">
        <v>78</v>
      </c>
      <c r="D68" s="5" t="s">
        <v>19</v>
      </c>
      <c r="E68" s="5" t="n">
        <v>3</v>
      </c>
      <c r="F68" s="6"/>
      <c r="G68" s="5"/>
      <c r="H68" s="7" t="str">
        <f aca="false">IF(F68="","",ROUND(F68*(1-$B$2),-1))</f>
        <v/>
      </c>
      <c r="I68" s="7" t="str">
        <f aca="false">IF(H68="","",E68*H68)</f>
        <v/>
      </c>
    </row>
    <row r="69" customFormat="false" ht="15" hidden="false" customHeight="false" outlineLevel="0" collapsed="false">
      <c r="A69" s="5" t="n">
        <v>65</v>
      </c>
      <c r="B69" s="5" t="n">
        <v>217</v>
      </c>
      <c r="C69" s="5" t="s">
        <v>79</v>
      </c>
      <c r="D69" s="5" t="s">
        <v>19</v>
      </c>
      <c r="E69" s="5" t="n">
        <v>3</v>
      </c>
      <c r="F69" s="6"/>
      <c r="G69" s="5"/>
      <c r="H69" s="7" t="str">
        <f aca="false">IF(F69="","",ROUND(F69*(1-$B$2),-1))</f>
        <v/>
      </c>
      <c r="I69" s="7" t="str">
        <f aca="false">IF(H69="","",E69*H69)</f>
        <v/>
      </c>
    </row>
    <row r="70" customFormat="false" ht="15" hidden="false" customHeight="false" outlineLevel="0" collapsed="false">
      <c r="A70" s="5" t="n">
        <v>66</v>
      </c>
      <c r="B70" s="5" t="n">
        <v>217</v>
      </c>
      <c r="C70" s="5" t="s">
        <v>80</v>
      </c>
      <c r="D70" s="5" t="s">
        <v>19</v>
      </c>
      <c r="E70" s="5" t="n">
        <v>2</v>
      </c>
      <c r="F70" s="6" t="n">
        <v>6500</v>
      </c>
      <c r="G70" s="5" t="s">
        <v>16</v>
      </c>
      <c r="H70" s="7" t="n">
        <f aca="false">IF(F70="","",ROUND(F70*(1-$B$2),-1))</f>
        <v>6370</v>
      </c>
      <c r="I70" s="7" t="n">
        <f aca="false">IF(H70="","",E70*H70)</f>
        <v>12740</v>
      </c>
    </row>
    <row r="71" customFormat="false" ht="15" hidden="false" customHeight="false" outlineLevel="0" collapsed="false">
      <c r="A71" s="5" t="n">
        <v>67</v>
      </c>
      <c r="B71" s="5" t="n">
        <v>217</v>
      </c>
      <c r="C71" s="5" t="s">
        <v>81</v>
      </c>
      <c r="D71" s="5" t="s">
        <v>19</v>
      </c>
      <c r="E71" s="5" t="n">
        <v>2</v>
      </c>
      <c r="F71" s="6" t="n">
        <v>5500</v>
      </c>
      <c r="G71" s="5" t="s">
        <v>16</v>
      </c>
      <c r="H71" s="7" t="n">
        <f aca="false">IF(F71="","",ROUND(F71*(1-$B$2),-1))</f>
        <v>5390</v>
      </c>
      <c r="I71" s="7" t="n">
        <f aca="false">IF(H71="","",E71*H71)</f>
        <v>10780</v>
      </c>
    </row>
    <row r="72" customFormat="false" ht="15" hidden="false" customHeight="false" outlineLevel="0" collapsed="false">
      <c r="A72" s="5" t="n">
        <v>68</v>
      </c>
      <c r="B72" s="5" t="n">
        <v>217</v>
      </c>
      <c r="C72" s="5" t="s">
        <v>82</v>
      </c>
      <c r="D72" s="5" t="s">
        <v>19</v>
      </c>
      <c r="E72" s="5" t="n">
        <v>2</v>
      </c>
      <c r="F72" s="6"/>
      <c r="G72" s="5"/>
      <c r="H72" s="7" t="str">
        <f aca="false">IF(F72="","",ROUND(F72*(1-$B$2),-1))</f>
        <v/>
      </c>
      <c r="I72" s="7" t="str">
        <f aca="false">IF(H72="","",E72*H72)</f>
        <v/>
      </c>
    </row>
    <row r="73" customFormat="false" ht="15" hidden="false" customHeight="false" outlineLevel="0" collapsed="false">
      <c r="A73" s="5" t="n">
        <v>69</v>
      </c>
      <c r="B73" s="5" t="n">
        <v>217</v>
      </c>
      <c r="C73" s="5" t="s">
        <v>83</v>
      </c>
      <c r="D73" s="5" t="s">
        <v>19</v>
      </c>
      <c r="E73" s="5" t="n">
        <v>2</v>
      </c>
      <c r="F73" s="6"/>
      <c r="G73" s="5"/>
      <c r="H73" s="7" t="str">
        <f aca="false">IF(F73="","",ROUND(F73*(1-$B$2),-1))</f>
        <v/>
      </c>
      <c r="I73" s="7" t="str">
        <f aca="false">IF(H73="","",E73*H73)</f>
        <v/>
      </c>
    </row>
    <row r="74" customFormat="false" ht="15" hidden="false" customHeight="false" outlineLevel="0" collapsed="false">
      <c r="A74" s="5" t="n">
        <v>70</v>
      </c>
      <c r="B74" s="5" t="n">
        <v>217</v>
      </c>
      <c r="C74" s="5" t="s">
        <v>84</v>
      </c>
      <c r="D74" s="5" t="s">
        <v>19</v>
      </c>
      <c r="E74" s="5" t="n">
        <v>1</v>
      </c>
      <c r="F74" s="6"/>
      <c r="G74" s="5"/>
      <c r="H74" s="7" t="str">
        <f aca="false">IF(F74="","",ROUND(F74*(1-$B$2),-1))</f>
        <v/>
      </c>
      <c r="I74" s="7" t="str">
        <f aca="false">IF(H74="","",E74*H74)</f>
        <v/>
      </c>
    </row>
    <row r="75" customFormat="false" ht="15" hidden="false" customHeight="false" outlineLevel="0" collapsed="false">
      <c r="A75" s="5" t="n">
        <v>71</v>
      </c>
      <c r="B75" s="5" t="n">
        <v>217</v>
      </c>
      <c r="C75" s="5" t="s">
        <v>85</v>
      </c>
      <c r="D75" s="5" t="s">
        <v>19</v>
      </c>
      <c r="E75" s="5" t="n">
        <v>1</v>
      </c>
      <c r="F75" s="6" t="n">
        <v>480</v>
      </c>
      <c r="G75" s="5" t="s">
        <v>16</v>
      </c>
      <c r="H75" s="7" t="n">
        <f aca="false">IF(F75="","",ROUND(F75*(1-$B$2),-1))</f>
        <v>470</v>
      </c>
      <c r="I75" s="7" t="n">
        <f aca="false">IF(H75="","",E75*H75)</f>
        <v>470</v>
      </c>
    </row>
    <row r="76" customFormat="false" ht="15" hidden="false" customHeight="false" outlineLevel="0" collapsed="false">
      <c r="A76" s="5" t="n">
        <v>72</v>
      </c>
      <c r="B76" s="5" t="n">
        <v>217</v>
      </c>
      <c r="C76" s="5" t="s">
        <v>86</v>
      </c>
      <c r="D76" s="5" t="s">
        <v>19</v>
      </c>
      <c r="E76" s="5" t="n">
        <v>3</v>
      </c>
      <c r="F76" s="6" t="n">
        <v>17860</v>
      </c>
      <c r="G76" s="5" t="s">
        <v>16</v>
      </c>
      <c r="H76" s="7" t="n">
        <f aca="false">IF(F76="","",ROUND(F76*(1-$B$2),-1))</f>
        <v>17500</v>
      </c>
      <c r="I76" s="7" t="n">
        <f aca="false">IF(H76="","",E76*H76)</f>
        <v>52500</v>
      </c>
    </row>
    <row r="77" customFormat="false" ht="15" hidden="false" customHeight="false" outlineLevel="0" collapsed="false">
      <c r="A77" s="5" t="n">
        <v>73</v>
      </c>
      <c r="B77" s="5" t="n">
        <v>217</v>
      </c>
      <c r="C77" s="5" t="s">
        <v>87</v>
      </c>
      <c r="D77" s="5" t="s">
        <v>19</v>
      </c>
      <c r="E77" s="5" t="n">
        <v>1</v>
      </c>
      <c r="F77" s="6"/>
      <c r="G77" s="5"/>
      <c r="H77" s="7" t="str">
        <f aca="false">IF(F77="","",ROUND(F77*(1-$B$2),-1))</f>
        <v/>
      </c>
      <c r="I77" s="7" t="str">
        <f aca="false">IF(H77="","",E77*H77)</f>
        <v/>
      </c>
    </row>
    <row r="78" customFormat="false" ht="15" hidden="false" customHeight="false" outlineLevel="0" collapsed="false">
      <c r="A78" s="5" t="n">
        <v>74</v>
      </c>
      <c r="B78" s="5" t="n">
        <v>217</v>
      </c>
      <c r="C78" s="5" t="s">
        <v>88</v>
      </c>
      <c r="D78" s="5" t="s">
        <v>19</v>
      </c>
      <c r="E78" s="5" t="n">
        <v>2</v>
      </c>
      <c r="F78" s="6"/>
      <c r="G78" s="5"/>
      <c r="H78" s="7" t="str">
        <f aca="false">IF(F78="","",ROUND(F78*(1-$B$2),-1))</f>
        <v/>
      </c>
      <c r="I78" s="7" t="str">
        <f aca="false">IF(H78="","",E78*H78)</f>
        <v/>
      </c>
    </row>
    <row r="79" customFormat="false" ht="15" hidden="false" customHeight="false" outlineLevel="0" collapsed="false">
      <c r="A79" s="5" t="n">
        <v>75</v>
      </c>
      <c r="B79" s="5" t="n">
        <v>217</v>
      </c>
      <c r="C79" s="5" t="s">
        <v>89</v>
      </c>
      <c r="D79" s="5" t="s">
        <v>19</v>
      </c>
      <c r="E79" s="5" t="n">
        <v>2</v>
      </c>
      <c r="F79" s="6" t="n">
        <v>3400</v>
      </c>
      <c r="G79" s="5" t="s">
        <v>16</v>
      </c>
      <c r="H79" s="7" t="n">
        <f aca="false">IF(F79="","",ROUND(F79*(1-$B$2),-1))</f>
        <v>3330</v>
      </c>
      <c r="I79" s="7" t="n">
        <f aca="false">IF(H79="","",E79*H79)</f>
        <v>6660</v>
      </c>
    </row>
    <row r="80" customFormat="false" ht="15" hidden="false" customHeight="false" outlineLevel="0" collapsed="false">
      <c r="A80" s="5" t="n">
        <v>76</v>
      </c>
      <c r="B80" s="5" t="n">
        <v>217</v>
      </c>
      <c r="C80" s="5" t="s">
        <v>90</v>
      </c>
      <c r="D80" s="5" t="s">
        <v>19</v>
      </c>
      <c r="E80" s="5" t="n">
        <v>2</v>
      </c>
      <c r="F80" s="6" t="n">
        <v>3600</v>
      </c>
      <c r="G80" s="5" t="s">
        <v>16</v>
      </c>
      <c r="H80" s="7" t="n">
        <f aca="false">IF(F80="","",ROUND(F80*(1-$B$2),-1))</f>
        <v>3530</v>
      </c>
      <c r="I80" s="7" t="n">
        <f aca="false">IF(H80="","",E80*H80)</f>
        <v>7060</v>
      </c>
    </row>
    <row r="81" customFormat="false" ht="15" hidden="false" customHeight="false" outlineLevel="0" collapsed="false">
      <c r="A81" s="5" t="n">
        <v>77</v>
      </c>
      <c r="B81" s="5" t="n">
        <v>217</v>
      </c>
      <c r="C81" s="5" t="s">
        <v>91</v>
      </c>
      <c r="D81" s="5" t="s">
        <v>19</v>
      </c>
      <c r="E81" s="5" t="n">
        <v>2</v>
      </c>
      <c r="F81" s="6" t="n">
        <v>4000</v>
      </c>
      <c r="G81" s="5" t="s">
        <v>16</v>
      </c>
      <c r="H81" s="7" t="n">
        <f aca="false">IF(F81="","",ROUND(F81*(1-$B$2),-1))</f>
        <v>3920</v>
      </c>
      <c r="I81" s="7" t="n">
        <f aca="false">IF(H81="","",E81*H81)</f>
        <v>7840</v>
      </c>
    </row>
    <row r="82" customFormat="false" ht="15" hidden="false" customHeight="false" outlineLevel="0" collapsed="false">
      <c r="A82" s="5" t="n">
        <v>78</v>
      </c>
      <c r="B82" s="5" t="n">
        <v>217</v>
      </c>
      <c r="C82" s="5" t="s">
        <v>92</v>
      </c>
      <c r="D82" s="5" t="s">
        <v>19</v>
      </c>
      <c r="E82" s="5" t="n">
        <v>2</v>
      </c>
      <c r="F82" s="6" t="n">
        <v>4000</v>
      </c>
      <c r="G82" s="5" t="s">
        <v>16</v>
      </c>
      <c r="H82" s="7" t="n">
        <f aca="false">IF(F82="","",ROUND(F82*(1-$B$2),-1))</f>
        <v>3920</v>
      </c>
      <c r="I82" s="7" t="n">
        <f aca="false">IF(H82="","",E82*H82)</f>
        <v>7840</v>
      </c>
    </row>
    <row r="83" customFormat="false" ht="15" hidden="false" customHeight="false" outlineLevel="0" collapsed="false">
      <c r="A83" s="5" t="n">
        <v>79</v>
      </c>
      <c r="B83" s="5" t="n">
        <v>217</v>
      </c>
      <c r="C83" s="5" t="s">
        <v>93</v>
      </c>
      <c r="D83" s="5" t="s">
        <v>19</v>
      </c>
      <c r="E83" s="5" t="n">
        <v>2</v>
      </c>
      <c r="F83" s="6" t="n">
        <v>4500</v>
      </c>
      <c r="G83" s="5" t="s">
        <v>16</v>
      </c>
      <c r="H83" s="7" t="n">
        <f aca="false">IF(F83="","",ROUND(F83*(1-$B$2),-1))</f>
        <v>4410</v>
      </c>
      <c r="I83" s="7" t="n">
        <f aca="false">IF(H83="","",E83*H83)</f>
        <v>8820</v>
      </c>
    </row>
    <row r="84" customFormat="false" ht="15" hidden="false" customHeight="false" outlineLevel="0" collapsed="false">
      <c r="A84" s="5" t="n">
        <v>80</v>
      </c>
      <c r="B84" s="5" t="n">
        <v>217</v>
      </c>
      <c r="C84" s="5" t="s">
        <v>94</v>
      </c>
      <c r="D84" s="5" t="s">
        <v>19</v>
      </c>
      <c r="E84" s="5" t="n">
        <v>2</v>
      </c>
      <c r="F84" s="6" t="n">
        <v>4500</v>
      </c>
      <c r="G84" s="5" t="s">
        <v>16</v>
      </c>
      <c r="H84" s="7" t="n">
        <f aca="false">IF(F84="","",ROUND(F84*(1-$B$2),-1))</f>
        <v>4410</v>
      </c>
      <c r="I84" s="7" t="n">
        <f aca="false">IF(H84="","",E84*H84)</f>
        <v>8820</v>
      </c>
    </row>
    <row r="85" customFormat="false" ht="15" hidden="false" customHeight="false" outlineLevel="0" collapsed="false">
      <c r="A85" s="5" t="n">
        <v>81</v>
      </c>
      <c r="B85" s="5" t="n">
        <v>217</v>
      </c>
      <c r="C85" s="5" t="s">
        <v>95</v>
      </c>
      <c r="D85" s="5" t="s">
        <v>19</v>
      </c>
      <c r="E85" s="5" t="n">
        <v>2</v>
      </c>
      <c r="F85" s="6" t="n">
        <v>4800</v>
      </c>
      <c r="G85" s="5" t="s">
        <v>16</v>
      </c>
      <c r="H85" s="7" t="n">
        <f aca="false">IF(F85="","",ROUND(F85*(1-$B$2),-1))</f>
        <v>4700</v>
      </c>
      <c r="I85" s="7" t="n">
        <f aca="false">IF(H85="","",E85*H85)</f>
        <v>9400</v>
      </c>
    </row>
    <row r="86" customFormat="false" ht="15" hidden="false" customHeight="false" outlineLevel="0" collapsed="false">
      <c r="A86" s="5" t="n">
        <v>82</v>
      </c>
      <c r="B86" s="5" t="n">
        <v>217</v>
      </c>
      <c r="C86" s="5" t="s">
        <v>96</v>
      </c>
      <c r="D86" s="5" t="s">
        <v>19</v>
      </c>
      <c r="E86" s="5" t="n">
        <v>2</v>
      </c>
      <c r="F86" s="6" t="n">
        <v>5100</v>
      </c>
      <c r="G86" s="5" t="s">
        <v>16</v>
      </c>
      <c r="H86" s="7" t="n">
        <f aca="false">IF(F86="","",ROUND(F86*(1-$B$2),-1))</f>
        <v>5000</v>
      </c>
      <c r="I86" s="7" t="n">
        <f aca="false">IF(H86="","",E86*H86)</f>
        <v>10000</v>
      </c>
    </row>
    <row r="87" customFormat="false" ht="15" hidden="false" customHeight="false" outlineLevel="0" collapsed="false">
      <c r="A87" s="5" t="n">
        <v>83</v>
      </c>
      <c r="B87" s="5" t="n">
        <v>217</v>
      </c>
      <c r="C87" s="5" t="s">
        <v>97</v>
      </c>
      <c r="D87" s="5" t="s">
        <v>19</v>
      </c>
      <c r="E87" s="5" t="n">
        <v>1</v>
      </c>
      <c r="F87" s="6" t="n">
        <v>5900</v>
      </c>
      <c r="G87" s="5" t="s">
        <v>16</v>
      </c>
      <c r="H87" s="7" t="n">
        <f aca="false">IF(F87="","",ROUND(F87*(1-$B$2),-1))</f>
        <v>5780</v>
      </c>
      <c r="I87" s="7" t="n">
        <f aca="false">IF(H87="","",E87*H87)</f>
        <v>5780</v>
      </c>
    </row>
    <row r="88" customFormat="false" ht="15" hidden="false" customHeight="false" outlineLevel="0" collapsed="false">
      <c r="A88" s="5" t="n">
        <v>84</v>
      </c>
      <c r="B88" s="5" t="n">
        <v>217</v>
      </c>
      <c r="C88" s="5" t="s">
        <v>98</v>
      </c>
      <c r="D88" s="5" t="s">
        <v>19</v>
      </c>
      <c r="E88" s="5" t="n">
        <v>1</v>
      </c>
      <c r="F88" s="6" t="n">
        <v>7500</v>
      </c>
      <c r="G88" s="5" t="s">
        <v>16</v>
      </c>
      <c r="H88" s="7" t="n">
        <f aca="false">IF(F88="","",ROUND(F88*(1-$B$2),-1))</f>
        <v>7350</v>
      </c>
      <c r="I88" s="7" t="n">
        <f aca="false">IF(H88="","",E88*H88)</f>
        <v>7350</v>
      </c>
    </row>
    <row r="89" customFormat="false" ht="15" hidden="false" customHeight="false" outlineLevel="0" collapsed="false">
      <c r="A89" s="5" t="n">
        <v>85</v>
      </c>
      <c r="B89" s="5" t="n">
        <v>217</v>
      </c>
      <c r="C89" s="5" t="s">
        <v>99</v>
      </c>
      <c r="D89" s="5" t="s">
        <v>19</v>
      </c>
      <c r="E89" s="5" t="n">
        <v>1</v>
      </c>
      <c r="F89" s="6" t="n">
        <v>13500</v>
      </c>
      <c r="G89" s="5" t="s">
        <v>16</v>
      </c>
      <c r="H89" s="7" t="n">
        <f aca="false">IF(F89="","",ROUND(F89*(1-$B$2),-1))</f>
        <v>13230</v>
      </c>
      <c r="I89" s="7" t="n">
        <f aca="false">IF(H89="","",E89*H89)</f>
        <v>13230</v>
      </c>
    </row>
    <row r="90" customFormat="false" ht="15" hidden="false" customHeight="false" outlineLevel="0" collapsed="false">
      <c r="A90" s="5" t="n">
        <v>86</v>
      </c>
      <c r="B90" s="5" t="n">
        <v>217</v>
      </c>
      <c r="C90" s="5" t="s">
        <v>100</v>
      </c>
      <c r="D90" s="5" t="s">
        <v>19</v>
      </c>
      <c r="E90" s="5" t="n">
        <v>1</v>
      </c>
      <c r="F90" s="6" t="n">
        <v>13500</v>
      </c>
      <c r="G90" s="5" t="s">
        <v>16</v>
      </c>
      <c r="H90" s="7" t="n">
        <f aca="false">IF(F90="","",ROUND(F90*(1-$B$2),-1))</f>
        <v>13230</v>
      </c>
      <c r="I90" s="7" t="n">
        <f aca="false">IF(H90="","",E90*H90)</f>
        <v>13230</v>
      </c>
    </row>
    <row r="91" customFormat="false" ht="15" hidden="false" customHeight="false" outlineLevel="0" collapsed="false">
      <c r="A91" s="5" t="n">
        <v>87</v>
      </c>
      <c r="B91" s="5" t="n">
        <v>217</v>
      </c>
      <c r="C91" s="5" t="s">
        <v>101</v>
      </c>
      <c r="D91" s="5" t="s">
        <v>19</v>
      </c>
      <c r="E91" s="5" t="n">
        <v>1</v>
      </c>
      <c r="F91" s="6" t="n">
        <v>14500</v>
      </c>
      <c r="G91" s="5" t="s">
        <v>16</v>
      </c>
      <c r="H91" s="7" t="n">
        <f aca="false">IF(F91="","",ROUND(F91*(1-$B$2),-1))</f>
        <v>14210</v>
      </c>
      <c r="I91" s="7" t="n">
        <f aca="false">IF(H91="","",E91*H91)</f>
        <v>14210</v>
      </c>
    </row>
    <row r="92" customFormat="false" ht="15" hidden="false" customHeight="false" outlineLevel="0" collapsed="false">
      <c r="A92" s="5" t="n">
        <v>88</v>
      </c>
      <c r="B92" s="5" t="n">
        <v>217</v>
      </c>
      <c r="C92" s="5" t="s">
        <v>102</v>
      </c>
      <c r="D92" s="5" t="s">
        <v>19</v>
      </c>
      <c r="E92" s="5" t="n">
        <v>2</v>
      </c>
      <c r="F92" s="6" t="n">
        <v>5290</v>
      </c>
      <c r="G92" s="5" t="s">
        <v>16</v>
      </c>
      <c r="H92" s="7" t="n">
        <f aca="false">IF(F92="","",ROUND(F92*(1-$B$2),-1))</f>
        <v>5180</v>
      </c>
      <c r="I92" s="7" t="n">
        <f aca="false">IF(H92="","",E92*H92)</f>
        <v>10360</v>
      </c>
    </row>
    <row r="93" customFormat="false" ht="15" hidden="false" customHeight="false" outlineLevel="0" collapsed="false">
      <c r="A93" s="5" t="n">
        <v>89</v>
      </c>
      <c r="B93" s="5" t="n">
        <v>217</v>
      </c>
      <c r="C93" s="5" t="s">
        <v>103</v>
      </c>
      <c r="D93" s="5" t="s">
        <v>19</v>
      </c>
      <c r="E93" s="5" t="n">
        <v>2</v>
      </c>
      <c r="F93" s="6"/>
      <c r="G93" s="5"/>
      <c r="H93" s="7" t="str">
        <f aca="false">IF(F93="","",ROUND(F93*(1-$B$2),-1))</f>
        <v/>
      </c>
      <c r="I93" s="7" t="str">
        <f aca="false">IF(H93="","",E93*H93)</f>
        <v/>
      </c>
    </row>
    <row r="94" customFormat="false" ht="15" hidden="false" customHeight="false" outlineLevel="0" collapsed="false">
      <c r="A94" s="5" t="n">
        <v>90</v>
      </c>
      <c r="B94" s="5" t="n">
        <v>217</v>
      </c>
      <c r="C94" s="5" t="s">
        <v>104</v>
      </c>
      <c r="D94" s="5" t="s">
        <v>19</v>
      </c>
      <c r="E94" s="5" t="n">
        <v>2</v>
      </c>
      <c r="F94" s="6"/>
      <c r="G94" s="5"/>
      <c r="H94" s="7" t="str">
        <f aca="false">IF(F94="","",ROUND(F94*(1-$B$2),-1))</f>
        <v/>
      </c>
      <c r="I94" s="7" t="str">
        <f aca="false">IF(H94="","",E94*H94)</f>
        <v/>
      </c>
    </row>
    <row r="95" customFormat="false" ht="15" hidden="false" customHeight="false" outlineLevel="0" collapsed="false">
      <c r="A95" s="5" t="n">
        <v>91</v>
      </c>
      <c r="B95" s="5" t="n">
        <v>217</v>
      </c>
      <c r="C95" s="5" t="s">
        <v>105</v>
      </c>
      <c r="D95" s="5" t="s">
        <v>19</v>
      </c>
      <c r="E95" s="5" t="n">
        <v>2</v>
      </c>
      <c r="F95" s="6"/>
      <c r="G95" s="5"/>
      <c r="H95" s="7" t="str">
        <f aca="false">IF(F95="","",ROUND(F95*(1-$B$2),-1))</f>
        <v/>
      </c>
      <c r="I95" s="7" t="str">
        <f aca="false">IF(H95="","",E95*H95)</f>
        <v/>
      </c>
    </row>
    <row r="96" customFormat="false" ht="15" hidden="false" customHeight="false" outlineLevel="0" collapsed="false">
      <c r="A96" s="5" t="n">
        <v>92</v>
      </c>
      <c r="B96" s="5" t="n">
        <v>217</v>
      </c>
      <c r="C96" s="5" t="s">
        <v>106</v>
      </c>
      <c r="D96" s="5" t="s">
        <v>19</v>
      </c>
      <c r="E96" s="5" t="n">
        <v>2</v>
      </c>
      <c r="F96" s="6"/>
      <c r="G96" s="5"/>
      <c r="H96" s="7" t="str">
        <f aca="false">IF(F96="","",ROUND(F96*(1-$B$2),-1))</f>
        <v/>
      </c>
      <c r="I96" s="7" t="str">
        <f aca="false">IF(H96="","",E96*H96)</f>
        <v/>
      </c>
    </row>
    <row r="97" customFormat="false" ht="15" hidden="false" customHeight="false" outlineLevel="0" collapsed="false">
      <c r="A97" s="5" t="n">
        <v>93</v>
      </c>
      <c r="B97" s="5" t="n">
        <v>217</v>
      </c>
      <c r="C97" s="5" t="s">
        <v>107</v>
      </c>
      <c r="D97" s="5" t="s">
        <v>19</v>
      </c>
      <c r="E97" s="5" t="n">
        <v>2</v>
      </c>
      <c r="F97" s="6" t="n">
        <v>15500</v>
      </c>
      <c r="G97" s="5" t="s">
        <v>16</v>
      </c>
      <c r="H97" s="7" t="n">
        <f aca="false">IF(F97="","",ROUND(F97*(1-$B$2),-1))</f>
        <v>15190</v>
      </c>
      <c r="I97" s="7" t="n">
        <f aca="false">IF(H97="","",E97*H97)</f>
        <v>30380</v>
      </c>
    </row>
    <row r="98" customFormat="false" ht="15" hidden="false" customHeight="false" outlineLevel="0" collapsed="false">
      <c r="A98" s="5" t="n">
        <v>94</v>
      </c>
      <c r="B98" s="5" t="n">
        <v>217</v>
      </c>
      <c r="C98" s="5" t="s">
        <v>108</v>
      </c>
      <c r="D98" s="5" t="s">
        <v>19</v>
      </c>
      <c r="E98" s="5" t="n">
        <v>3</v>
      </c>
      <c r="F98" s="6" t="n">
        <v>13500</v>
      </c>
      <c r="G98" s="5" t="s">
        <v>16</v>
      </c>
      <c r="H98" s="7" t="n">
        <f aca="false">IF(F98="","",ROUND(F98*(1-$B$2),-1))</f>
        <v>13230</v>
      </c>
      <c r="I98" s="7" t="n">
        <f aca="false">IF(H98="","",E98*H98)</f>
        <v>39690</v>
      </c>
    </row>
    <row r="99" customFormat="false" ht="15" hidden="false" customHeight="false" outlineLevel="0" collapsed="false">
      <c r="A99" s="5" t="n">
        <v>95</v>
      </c>
      <c r="B99" s="5" t="n">
        <v>217</v>
      </c>
      <c r="C99" s="5" t="s">
        <v>109</v>
      </c>
      <c r="D99" s="5" t="s">
        <v>19</v>
      </c>
      <c r="E99" s="5" t="n">
        <v>3</v>
      </c>
      <c r="F99" s="6" t="n">
        <v>7500</v>
      </c>
      <c r="G99" s="5" t="s">
        <v>16</v>
      </c>
      <c r="H99" s="7" t="n">
        <f aca="false">IF(F99="","",ROUND(F99*(1-$B$2),-1))</f>
        <v>7350</v>
      </c>
      <c r="I99" s="7" t="n">
        <f aca="false">IF(H99="","",E99*H99)</f>
        <v>22050</v>
      </c>
    </row>
    <row r="100" customFormat="false" ht="15" hidden="false" customHeight="false" outlineLevel="0" collapsed="false">
      <c r="A100" s="5" t="n">
        <v>96</v>
      </c>
      <c r="B100" s="5" t="n">
        <v>217</v>
      </c>
      <c r="C100" s="5" t="s">
        <v>110</v>
      </c>
      <c r="D100" s="5" t="s">
        <v>19</v>
      </c>
      <c r="E100" s="5" t="n">
        <v>2</v>
      </c>
      <c r="F100" s="6" t="n">
        <v>30222</v>
      </c>
      <c r="G100" s="5" t="s">
        <v>16</v>
      </c>
      <c r="H100" s="7" t="n">
        <f aca="false">IF(F100="","",ROUND(F100*(1-$B$2),-1))</f>
        <v>29620</v>
      </c>
      <c r="I100" s="7" t="n">
        <f aca="false">IF(H100="","",E100*H100)</f>
        <v>59240</v>
      </c>
    </row>
    <row r="101" customFormat="false" ht="15" hidden="false" customHeight="false" outlineLevel="0" collapsed="false">
      <c r="A101" s="5" t="n">
        <v>97</v>
      </c>
      <c r="B101" s="5" t="n">
        <v>217</v>
      </c>
      <c r="C101" s="5" t="s">
        <v>111</v>
      </c>
      <c r="D101" s="5" t="s">
        <v>19</v>
      </c>
      <c r="E101" s="5" t="n">
        <v>2</v>
      </c>
      <c r="F101" s="6"/>
      <c r="G101" s="5"/>
      <c r="H101" s="7" t="str">
        <f aca="false">IF(F101="","",ROUND(F101*(1-$B$2),-1))</f>
        <v/>
      </c>
      <c r="I101" s="7" t="str">
        <f aca="false">IF(H101="","",E101*H101)</f>
        <v/>
      </c>
    </row>
    <row r="102" customFormat="false" ht="15" hidden="false" customHeight="false" outlineLevel="0" collapsed="false">
      <c r="A102" s="5" t="n">
        <v>98</v>
      </c>
      <c r="B102" s="5" t="n">
        <v>217</v>
      </c>
      <c r="C102" s="5" t="s">
        <v>112</v>
      </c>
      <c r="D102" s="5" t="s">
        <v>19</v>
      </c>
      <c r="E102" s="5" t="n">
        <v>1</v>
      </c>
      <c r="F102" s="6"/>
      <c r="G102" s="5"/>
      <c r="H102" s="7" t="str">
        <f aca="false">IF(F102="","",ROUND(F102*(1-$B$2),-1))</f>
        <v/>
      </c>
      <c r="I102" s="7" t="str">
        <f aca="false">IF(H102="","",E102*H102)</f>
        <v/>
      </c>
    </row>
    <row r="103" customFormat="false" ht="15" hidden="false" customHeight="false" outlineLevel="0" collapsed="false">
      <c r="A103" s="5" t="n">
        <v>99</v>
      </c>
      <c r="B103" s="5" t="n">
        <v>217</v>
      </c>
      <c r="C103" s="5" t="s">
        <v>113</v>
      </c>
      <c r="D103" s="5" t="s">
        <v>19</v>
      </c>
      <c r="E103" s="5" t="n">
        <v>1</v>
      </c>
      <c r="F103" s="6" t="n">
        <v>5500</v>
      </c>
      <c r="G103" s="5" t="s">
        <v>16</v>
      </c>
      <c r="H103" s="7" t="n">
        <f aca="false">IF(F103="","",ROUND(F103*(1-$B$2),-1))</f>
        <v>5390</v>
      </c>
      <c r="I103" s="7" t="n">
        <f aca="false">IF(H103="","",E103*H103)</f>
        <v>5390</v>
      </c>
    </row>
    <row r="104" customFormat="false" ht="15" hidden="false" customHeight="false" outlineLevel="0" collapsed="false">
      <c r="A104" s="5" t="n">
        <v>100</v>
      </c>
      <c r="B104" s="5" t="n">
        <v>217</v>
      </c>
      <c r="C104" s="5" t="s">
        <v>114</v>
      </c>
      <c r="D104" s="5" t="s">
        <v>19</v>
      </c>
      <c r="E104" s="5" t="n">
        <v>1</v>
      </c>
      <c r="F104" s="6" t="n">
        <v>3500</v>
      </c>
      <c r="G104" s="5" t="s">
        <v>16</v>
      </c>
      <c r="H104" s="7" t="n">
        <f aca="false">IF(F104="","",ROUND(F104*(1-$B$2),-1))</f>
        <v>3430</v>
      </c>
      <c r="I104" s="7" t="n">
        <f aca="false">IF(H104="","",E104*H104)</f>
        <v>3430</v>
      </c>
    </row>
    <row r="105" customFormat="false" ht="15" hidden="false" customHeight="false" outlineLevel="0" collapsed="false">
      <c r="A105" s="5" t="n">
        <v>101</v>
      </c>
      <c r="B105" s="5" t="n">
        <v>217</v>
      </c>
      <c r="C105" s="5" t="s">
        <v>115</v>
      </c>
      <c r="D105" s="5" t="s">
        <v>19</v>
      </c>
      <c r="E105" s="5" t="n">
        <v>3</v>
      </c>
      <c r="F105" s="6" t="n">
        <v>3000</v>
      </c>
      <c r="G105" s="5" t="s">
        <v>16</v>
      </c>
      <c r="H105" s="7" t="n">
        <f aca="false">IF(F105="","",ROUND(F105*(1-$B$2),-1))</f>
        <v>2940</v>
      </c>
      <c r="I105" s="7" t="n">
        <f aca="false">IF(H105="","",E105*H105)</f>
        <v>8820</v>
      </c>
    </row>
    <row r="106" customFormat="false" ht="15" hidden="false" customHeight="false" outlineLevel="0" collapsed="false">
      <c r="A106" s="5" t="n">
        <v>102</v>
      </c>
      <c r="B106" s="5" t="n">
        <v>217</v>
      </c>
      <c r="C106" s="5" t="s">
        <v>116</v>
      </c>
      <c r="D106" s="5" t="s">
        <v>19</v>
      </c>
      <c r="E106" s="5" t="n">
        <v>3</v>
      </c>
      <c r="F106" s="6" t="n">
        <v>2800</v>
      </c>
      <c r="G106" s="5" t="s">
        <v>16</v>
      </c>
      <c r="H106" s="7" t="n">
        <f aca="false">IF(F106="","",ROUND(F106*(1-$B$2),-1))</f>
        <v>2740</v>
      </c>
      <c r="I106" s="7" t="n">
        <f aca="false">IF(H106="","",E106*H106)</f>
        <v>8220</v>
      </c>
    </row>
    <row r="107" customFormat="false" ht="15" hidden="false" customHeight="false" outlineLevel="0" collapsed="false">
      <c r="A107" s="5" t="n">
        <v>103</v>
      </c>
      <c r="B107" s="5" t="n">
        <v>217</v>
      </c>
      <c r="C107" s="5" t="s">
        <v>117</v>
      </c>
      <c r="D107" s="5" t="s">
        <v>19</v>
      </c>
      <c r="E107" s="5" t="n">
        <v>12</v>
      </c>
      <c r="F107" s="6"/>
      <c r="G107" s="5"/>
      <c r="H107" s="7" t="str">
        <f aca="false">IF(F107="","",ROUND(F107*(1-$B$2),-1))</f>
        <v/>
      </c>
      <c r="I107" s="7" t="str">
        <f aca="false">IF(H107="","",E107*H107)</f>
        <v/>
      </c>
    </row>
    <row r="108" customFormat="false" ht="15" hidden="false" customHeight="false" outlineLevel="0" collapsed="false">
      <c r="A108" s="5" t="n">
        <v>104</v>
      </c>
      <c r="B108" s="5" t="n">
        <v>217</v>
      </c>
      <c r="C108" s="5" t="s">
        <v>118</v>
      </c>
      <c r="D108" s="5" t="s">
        <v>19</v>
      </c>
      <c r="E108" s="5" t="n">
        <v>4</v>
      </c>
      <c r="F108" s="6" t="n">
        <v>4940</v>
      </c>
      <c r="G108" s="5" t="s">
        <v>16</v>
      </c>
      <c r="H108" s="7" t="n">
        <f aca="false">IF(F108="","",ROUND(F108*(1-$B$2),-1))</f>
        <v>4840</v>
      </c>
      <c r="I108" s="7" t="n">
        <f aca="false">IF(H108="","",E108*H108)</f>
        <v>19360</v>
      </c>
    </row>
    <row r="109" customFormat="false" ht="15" hidden="false" customHeight="false" outlineLevel="0" collapsed="false">
      <c r="A109" s="5" t="n">
        <v>105</v>
      </c>
      <c r="B109" s="5" t="n">
        <v>217</v>
      </c>
      <c r="C109" s="5" t="s">
        <v>119</v>
      </c>
      <c r="D109" s="5" t="s">
        <v>19</v>
      </c>
      <c r="E109" s="5" t="n">
        <v>12</v>
      </c>
      <c r="F109" s="6"/>
      <c r="G109" s="5"/>
      <c r="H109" s="7" t="str">
        <f aca="false">IF(F109="","",ROUND(F109*(1-$B$2),-1))</f>
        <v/>
      </c>
      <c r="I109" s="7" t="str">
        <f aca="false">IF(H109="","",E109*H109)</f>
        <v/>
      </c>
    </row>
    <row r="110" customFormat="false" ht="15" hidden="false" customHeight="false" outlineLevel="0" collapsed="false">
      <c r="A110" s="5" t="n">
        <v>106</v>
      </c>
      <c r="B110" s="5" t="n">
        <v>217</v>
      </c>
      <c r="C110" s="5" t="s">
        <v>120</v>
      </c>
      <c r="D110" s="5" t="s">
        <v>19</v>
      </c>
      <c r="E110" s="5" t="n">
        <v>6</v>
      </c>
      <c r="F110" s="6"/>
      <c r="G110" s="5"/>
      <c r="H110" s="7" t="str">
        <f aca="false">IF(F110="","",ROUND(F110*(1-$B$2),-1))</f>
        <v/>
      </c>
      <c r="I110" s="7" t="str">
        <f aca="false">IF(H110="","",E110*H110)</f>
        <v/>
      </c>
    </row>
    <row r="111" customFormat="false" ht="15" hidden="false" customHeight="false" outlineLevel="0" collapsed="false">
      <c r="A111" s="5" t="n">
        <v>107</v>
      </c>
      <c r="B111" s="5" t="n">
        <v>217</v>
      </c>
      <c r="C111" s="5" t="s">
        <v>121</v>
      </c>
      <c r="D111" s="5" t="s">
        <v>19</v>
      </c>
      <c r="E111" s="5" t="n">
        <v>6</v>
      </c>
      <c r="F111" s="6"/>
      <c r="G111" s="5"/>
      <c r="H111" s="7" t="str">
        <f aca="false">IF(F111="","",ROUND(F111*(1-$B$2),-1))</f>
        <v/>
      </c>
      <c r="I111" s="7" t="str">
        <f aca="false">IF(H111="","",E111*H111)</f>
        <v/>
      </c>
    </row>
    <row r="112" customFormat="false" ht="15" hidden="false" customHeight="false" outlineLevel="0" collapsed="false">
      <c r="A112" s="5" t="n">
        <v>108</v>
      </c>
      <c r="B112" s="5" t="n">
        <v>217</v>
      </c>
      <c r="C112" s="5" t="s">
        <v>122</v>
      </c>
      <c r="D112" s="5" t="s">
        <v>19</v>
      </c>
      <c r="E112" s="5" t="n">
        <v>3</v>
      </c>
      <c r="F112" s="6"/>
      <c r="G112" s="5"/>
      <c r="H112" s="7" t="str">
        <f aca="false">IF(F112="","",ROUND(F112*(1-$B$2),-1))</f>
        <v/>
      </c>
      <c r="I112" s="7" t="str">
        <f aca="false">IF(H112="","",E112*H112)</f>
        <v/>
      </c>
    </row>
    <row r="113" customFormat="false" ht="15" hidden="false" customHeight="false" outlineLevel="0" collapsed="false">
      <c r="A113" s="5" t="n">
        <v>109</v>
      </c>
      <c r="B113" s="5" t="n">
        <v>217</v>
      </c>
      <c r="C113" s="5" t="s">
        <v>123</v>
      </c>
      <c r="D113" s="5" t="s">
        <v>19</v>
      </c>
      <c r="E113" s="5" t="n">
        <v>6</v>
      </c>
      <c r="F113" s="6"/>
      <c r="G113" s="5"/>
      <c r="H113" s="7" t="str">
        <f aca="false">IF(F113="","",ROUND(F113*(1-$B$2),-1))</f>
        <v/>
      </c>
      <c r="I113" s="7" t="str">
        <f aca="false">IF(H113="","",E113*H113)</f>
        <v/>
      </c>
    </row>
    <row r="114" customFormat="false" ht="15" hidden="false" customHeight="false" outlineLevel="0" collapsed="false">
      <c r="A114" s="5" t="n">
        <v>110</v>
      </c>
      <c r="B114" s="5" t="n">
        <v>217</v>
      </c>
      <c r="C114" s="5" t="s">
        <v>124</v>
      </c>
      <c r="D114" s="5" t="s">
        <v>19</v>
      </c>
      <c r="E114" s="5" t="n">
        <v>3</v>
      </c>
      <c r="F114" s="6" t="n">
        <v>400</v>
      </c>
      <c r="G114" s="5" t="s">
        <v>16</v>
      </c>
      <c r="H114" s="7" t="n">
        <f aca="false">IF(F114="","",ROUND(F114*(1-$B$2),-1))</f>
        <v>390</v>
      </c>
      <c r="I114" s="7" t="n">
        <f aca="false">IF(H114="","",E114*H114)</f>
        <v>1170</v>
      </c>
    </row>
    <row r="115" customFormat="false" ht="15" hidden="false" customHeight="false" outlineLevel="0" collapsed="false">
      <c r="A115" s="5" t="n">
        <v>111</v>
      </c>
      <c r="B115" s="5" t="n">
        <v>217</v>
      </c>
      <c r="C115" s="5" t="s">
        <v>125</v>
      </c>
      <c r="D115" s="5" t="s">
        <v>19</v>
      </c>
      <c r="E115" s="5" t="n">
        <v>3</v>
      </c>
      <c r="F115" s="6" t="n">
        <v>1750</v>
      </c>
      <c r="G115" s="5" t="s">
        <v>16</v>
      </c>
      <c r="H115" s="7" t="n">
        <f aca="false">IF(F115="","",ROUND(F115*(1-$B$2),-1))</f>
        <v>1720</v>
      </c>
      <c r="I115" s="7" t="n">
        <f aca="false">IF(H115="","",E115*H115)</f>
        <v>5160</v>
      </c>
    </row>
    <row r="116" customFormat="false" ht="15" hidden="false" customHeight="false" outlineLevel="0" collapsed="false">
      <c r="A116" s="5" t="n">
        <v>112</v>
      </c>
      <c r="B116" s="5" t="n">
        <v>217</v>
      </c>
      <c r="C116" s="5" t="s">
        <v>126</v>
      </c>
      <c r="D116" s="5" t="s">
        <v>19</v>
      </c>
      <c r="E116" s="5" t="n">
        <v>2</v>
      </c>
      <c r="F116" s="6" t="n">
        <v>8200</v>
      </c>
      <c r="G116" s="5" t="s">
        <v>16</v>
      </c>
      <c r="H116" s="7" t="n">
        <f aca="false">IF(F116="","",ROUND(F116*(1-$B$2),-1))</f>
        <v>8040</v>
      </c>
      <c r="I116" s="7" t="n">
        <f aca="false">IF(H116="","",E116*H116)</f>
        <v>16080</v>
      </c>
    </row>
    <row r="117" customFormat="false" ht="15" hidden="false" customHeight="false" outlineLevel="0" collapsed="false">
      <c r="A117" s="5" t="n">
        <v>113</v>
      </c>
      <c r="B117" s="5" t="n">
        <v>217</v>
      </c>
      <c r="C117" s="5" t="s">
        <v>127</v>
      </c>
      <c r="D117" s="5" t="s">
        <v>19</v>
      </c>
      <c r="E117" s="5" t="n">
        <v>3</v>
      </c>
      <c r="F117" s="6"/>
      <c r="G117" s="5"/>
      <c r="H117" s="7" t="str">
        <f aca="false">IF(F117="","",ROUND(F117*(1-$B$2),-1))</f>
        <v/>
      </c>
      <c r="I117" s="7" t="str">
        <f aca="false">IF(H117="","",E117*H117)</f>
        <v/>
      </c>
    </row>
    <row r="118" customFormat="false" ht="15" hidden="false" customHeight="false" outlineLevel="0" collapsed="false">
      <c r="A118" s="5" t="n">
        <v>114</v>
      </c>
      <c r="B118" s="5" t="n">
        <v>217</v>
      </c>
      <c r="C118" s="5" t="s">
        <v>128</v>
      </c>
      <c r="D118" s="5" t="s">
        <v>19</v>
      </c>
      <c r="E118" s="5" t="n">
        <v>3</v>
      </c>
      <c r="F118" s="6" t="n">
        <v>1794</v>
      </c>
      <c r="G118" s="5" t="s">
        <v>16</v>
      </c>
      <c r="H118" s="7" t="n">
        <f aca="false">IF(F118="","",ROUND(F118*(1-$B$2),-1))</f>
        <v>1760</v>
      </c>
      <c r="I118" s="7" t="n">
        <f aca="false">IF(H118="","",E118*H118)</f>
        <v>5280</v>
      </c>
    </row>
    <row r="119" customFormat="false" ht="15" hidden="false" customHeight="false" outlineLevel="0" collapsed="false">
      <c r="A119" s="5" t="n">
        <v>115</v>
      </c>
      <c r="B119" s="5" t="n">
        <v>217</v>
      </c>
      <c r="C119" s="5" t="s">
        <v>129</v>
      </c>
      <c r="D119" s="5" t="s">
        <v>19</v>
      </c>
      <c r="E119" s="5" t="n">
        <v>2</v>
      </c>
      <c r="F119" s="6" t="n">
        <v>8500</v>
      </c>
      <c r="G119" s="5" t="s">
        <v>16</v>
      </c>
      <c r="H119" s="7" t="n">
        <f aca="false">IF(F119="","",ROUND(F119*(1-$B$2),-1))</f>
        <v>8330</v>
      </c>
      <c r="I119" s="7" t="n">
        <f aca="false">IF(H119="","",E119*H119)</f>
        <v>16660</v>
      </c>
    </row>
    <row r="120" customFormat="false" ht="15" hidden="false" customHeight="false" outlineLevel="0" collapsed="false">
      <c r="A120" s="5" t="n">
        <v>116</v>
      </c>
      <c r="B120" s="5" t="n">
        <v>217</v>
      </c>
      <c r="C120" s="5" t="s">
        <v>130</v>
      </c>
      <c r="D120" s="5" t="s">
        <v>19</v>
      </c>
      <c r="E120" s="5" t="n">
        <v>2</v>
      </c>
      <c r="F120" s="6"/>
      <c r="G120" s="5"/>
      <c r="H120" s="7" t="str">
        <f aca="false">IF(F120="","",ROUND(F120*(1-$B$2),-1))</f>
        <v/>
      </c>
      <c r="I120" s="7" t="str">
        <f aca="false">IF(H120="","",E120*H120)</f>
        <v/>
      </c>
    </row>
    <row r="121" customFormat="false" ht="15" hidden="false" customHeight="false" outlineLevel="0" collapsed="false">
      <c r="A121" s="5" t="n">
        <v>117</v>
      </c>
      <c r="B121" s="5" t="n">
        <v>217</v>
      </c>
      <c r="C121" s="5" t="s">
        <v>131</v>
      </c>
      <c r="D121" s="5" t="s">
        <v>132</v>
      </c>
      <c r="E121" s="5" t="n">
        <v>15</v>
      </c>
      <c r="F121" s="6"/>
      <c r="G121" s="5"/>
      <c r="H121" s="7" t="str">
        <f aca="false">IF(F121="","",ROUND(F121*(1-$B$2),-1))</f>
        <v/>
      </c>
      <c r="I121" s="7" t="str">
        <f aca="false">IF(H121="","",E121*H121)</f>
        <v/>
      </c>
    </row>
    <row r="122" customFormat="false" ht="15" hidden="false" customHeight="false" outlineLevel="0" collapsed="false">
      <c r="A122" s="5" t="n">
        <v>118</v>
      </c>
      <c r="B122" s="5" t="n">
        <v>217</v>
      </c>
      <c r="C122" s="5" t="s">
        <v>133</v>
      </c>
      <c r="D122" s="5" t="s">
        <v>132</v>
      </c>
      <c r="E122" s="5" t="n">
        <v>15</v>
      </c>
      <c r="F122" s="6"/>
      <c r="G122" s="5"/>
      <c r="H122" s="7" t="str">
        <f aca="false">IF(F122="","",ROUND(F122*(1-$B$2),-1))</f>
        <v/>
      </c>
      <c r="I122" s="7" t="str">
        <f aca="false">IF(H122="","",E122*H122)</f>
        <v/>
      </c>
    </row>
    <row r="123" customFormat="false" ht="15" hidden="false" customHeight="false" outlineLevel="0" collapsed="false">
      <c r="A123" s="5" t="n">
        <v>119</v>
      </c>
      <c r="B123" s="5" t="n">
        <v>217</v>
      </c>
      <c r="C123" s="5" t="s">
        <v>134</v>
      </c>
      <c r="D123" s="5" t="s">
        <v>19</v>
      </c>
      <c r="E123" s="5" t="n">
        <v>2</v>
      </c>
      <c r="F123" s="6"/>
      <c r="G123" s="5"/>
      <c r="H123" s="7" t="str">
        <f aca="false">IF(F123="","",ROUND(F123*(1-$B$2),-1))</f>
        <v/>
      </c>
      <c r="I123" s="7" t="str">
        <f aca="false">IF(H123="","",E123*H123)</f>
        <v/>
      </c>
    </row>
    <row r="124" customFormat="false" ht="15" hidden="false" customHeight="false" outlineLevel="0" collapsed="false">
      <c r="A124" s="5" t="n">
        <v>120</v>
      </c>
      <c r="B124" s="5" t="n">
        <v>217</v>
      </c>
      <c r="C124" s="5" t="s">
        <v>135</v>
      </c>
      <c r="D124" s="5" t="s">
        <v>19</v>
      </c>
      <c r="E124" s="5" t="n">
        <v>6</v>
      </c>
      <c r="F124" s="6"/>
      <c r="G124" s="5"/>
      <c r="H124" s="7" t="str">
        <f aca="false">IF(F124="","",ROUND(F124*(1-$B$2),-1))</f>
        <v/>
      </c>
      <c r="I124" s="7" t="str">
        <f aca="false">IF(H124="","",E124*H124)</f>
        <v/>
      </c>
    </row>
    <row r="125" customFormat="false" ht="15" hidden="false" customHeight="false" outlineLevel="0" collapsed="false">
      <c r="A125" s="5" t="n">
        <v>121</v>
      </c>
      <c r="B125" s="5" t="n">
        <v>217</v>
      </c>
      <c r="C125" s="5" t="s">
        <v>136</v>
      </c>
      <c r="D125" s="5" t="s">
        <v>19</v>
      </c>
      <c r="E125" s="5" t="n">
        <v>6</v>
      </c>
      <c r="F125" s="6"/>
      <c r="G125" s="5"/>
      <c r="H125" s="7" t="str">
        <f aca="false">IF(F125="","",ROUND(F125*(1-$B$2),-1))</f>
        <v/>
      </c>
      <c r="I125" s="7" t="str">
        <f aca="false">IF(H125="","",E125*H125)</f>
        <v/>
      </c>
    </row>
    <row r="126" customFormat="false" ht="15" hidden="false" customHeight="false" outlineLevel="0" collapsed="false">
      <c r="A126" s="5" t="n">
        <v>122</v>
      </c>
      <c r="B126" s="5" t="n">
        <v>217</v>
      </c>
      <c r="C126" s="5" t="s">
        <v>137</v>
      </c>
      <c r="D126" s="5" t="s">
        <v>19</v>
      </c>
      <c r="E126" s="5" t="n">
        <v>1</v>
      </c>
      <c r="F126" s="6" t="n">
        <v>36000</v>
      </c>
      <c r="G126" s="5" t="s">
        <v>16</v>
      </c>
      <c r="H126" s="7" t="n">
        <f aca="false">IF(F126="","",ROUND(F126*(1-$B$2),-1))</f>
        <v>35280</v>
      </c>
      <c r="I126" s="7" t="n">
        <f aca="false">IF(H126="","",E126*H126)</f>
        <v>35280</v>
      </c>
    </row>
    <row r="127" customFormat="false" ht="15" hidden="false" customHeight="false" outlineLevel="0" collapsed="false">
      <c r="A127" s="5" t="n">
        <v>123</v>
      </c>
      <c r="B127" s="5" t="n">
        <v>217</v>
      </c>
      <c r="C127" s="5" t="s">
        <v>138</v>
      </c>
      <c r="D127" s="5" t="s">
        <v>19</v>
      </c>
      <c r="E127" s="5" t="n">
        <v>2</v>
      </c>
      <c r="F127" s="6" t="n">
        <v>9500</v>
      </c>
      <c r="G127" s="5" t="s">
        <v>16</v>
      </c>
      <c r="H127" s="7" t="n">
        <f aca="false">IF(F127="","",ROUND(F127*(1-$B$2),-1))</f>
        <v>9310</v>
      </c>
      <c r="I127" s="7" t="n">
        <f aca="false">IF(H127="","",E127*H127)</f>
        <v>18620</v>
      </c>
    </row>
    <row r="128" customFormat="false" ht="15" hidden="false" customHeight="false" outlineLevel="0" collapsed="false">
      <c r="A128" s="5" t="n">
        <v>124</v>
      </c>
      <c r="B128" s="5" t="n">
        <v>217</v>
      </c>
      <c r="C128" s="5" t="s">
        <v>139</v>
      </c>
      <c r="D128" s="5" t="s">
        <v>19</v>
      </c>
      <c r="E128" s="5" t="n">
        <v>2</v>
      </c>
      <c r="F128" s="6"/>
      <c r="G128" s="5"/>
      <c r="H128" s="7" t="str">
        <f aca="false">IF(F128="","",ROUND(F128*(1-$B$2),-1))</f>
        <v/>
      </c>
      <c r="I128" s="7" t="str">
        <f aca="false">IF(H128="","",E128*H128)</f>
        <v/>
      </c>
    </row>
    <row r="129" customFormat="false" ht="15" hidden="false" customHeight="false" outlineLevel="0" collapsed="false">
      <c r="A129" s="5" t="n">
        <v>125</v>
      </c>
      <c r="B129" s="5" t="n">
        <v>217</v>
      </c>
      <c r="C129" s="5" t="s">
        <v>140</v>
      </c>
      <c r="D129" s="5" t="s">
        <v>19</v>
      </c>
      <c r="E129" s="5" t="n">
        <v>12</v>
      </c>
      <c r="F129" s="6"/>
      <c r="G129" s="5"/>
      <c r="H129" s="7" t="str">
        <f aca="false">IF(F129="","",ROUND(F129*(1-$B$2),-1))</f>
        <v/>
      </c>
      <c r="I129" s="7" t="str">
        <f aca="false">IF(H129="","",E129*H129)</f>
        <v/>
      </c>
    </row>
    <row r="130" customFormat="false" ht="15" hidden="false" customHeight="false" outlineLevel="0" collapsed="false">
      <c r="A130" s="5" t="n">
        <v>126</v>
      </c>
      <c r="B130" s="5" t="n">
        <v>217</v>
      </c>
      <c r="C130" s="5" t="s">
        <v>141</v>
      </c>
      <c r="D130" s="5" t="s">
        <v>19</v>
      </c>
      <c r="E130" s="5" t="n">
        <v>12</v>
      </c>
      <c r="F130" s="6" t="n">
        <v>200</v>
      </c>
      <c r="G130" s="5" t="s">
        <v>16</v>
      </c>
      <c r="H130" s="7" t="n">
        <f aca="false">IF(F130="","",ROUND(F130*(1-$B$2),-1))</f>
        <v>200</v>
      </c>
      <c r="I130" s="7" t="n">
        <f aca="false">IF(H130="","",E130*H130)</f>
        <v>2400</v>
      </c>
    </row>
    <row r="131" customFormat="false" ht="15" hidden="false" customHeight="false" outlineLevel="0" collapsed="false">
      <c r="A131" s="5" t="n">
        <v>127</v>
      </c>
      <c r="B131" s="5" t="n">
        <v>217</v>
      </c>
      <c r="C131" s="5" t="s">
        <v>142</v>
      </c>
      <c r="D131" s="5" t="s">
        <v>19</v>
      </c>
      <c r="E131" s="5" t="n">
        <v>6</v>
      </c>
      <c r="F131" s="6"/>
      <c r="G131" s="5"/>
      <c r="H131" s="7" t="str">
        <f aca="false">IF(F131="","",ROUND(F131*(1-$B$2),-1))</f>
        <v/>
      </c>
      <c r="I131" s="7" t="str">
        <f aca="false">IF(H131="","",E131*H131)</f>
        <v/>
      </c>
    </row>
    <row r="132" customFormat="false" ht="15" hidden="false" customHeight="false" outlineLevel="0" collapsed="false">
      <c r="A132" s="5" t="n">
        <v>128</v>
      </c>
      <c r="B132" s="5" t="n">
        <v>217</v>
      </c>
      <c r="C132" s="5" t="s">
        <v>143</v>
      </c>
      <c r="D132" s="5" t="s">
        <v>19</v>
      </c>
      <c r="E132" s="5" t="n">
        <v>6</v>
      </c>
      <c r="F132" s="6"/>
      <c r="G132" s="5"/>
      <c r="H132" s="7" t="str">
        <f aca="false">IF(F132="","",ROUND(F132*(1-$B$2),-1))</f>
        <v/>
      </c>
      <c r="I132" s="7" t="str">
        <f aca="false">IF(H132="","",E132*H132)</f>
        <v/>
      </c>
    </row>
    <row r="133" customFormat="false" ht="15" hidden="false" customHeight="false" outlineLevel="0" collapsed="false">
      <c r="A133" s="5" t="n">
        <v>129</v>
      </c>
      <c r="B133" s="5" t="n">
        <v>217</v>
      </c>
      <c r="C133" s="5" t="s">
        <v>144</v>
      </c>
      <c r="D133" s="5" t="s">
        <v>19</v>
      </c>
      <c r="E133" s="5" t="n">
        <v>6</v>
      </c>
      <c r="F133" s="6"/>
      <c r="G133" s="5"/>
      <c r="H133" s="7" t="str">
        <f aca="false">IF(F133="","",ROUND(F133*(1-$B$2),-1))</f>
        <v/>
      </c>
      <c r="I133" s="7" t="str">
        <f aca="false">IF(H133="","",E133*H133)</f>
        <v/>
      </c>
    </row>
    <row r="134" customFormat="false" ht="15" hidden="false" customHeight="false" outlineLevel="0" collapsed="false">
      <c r="A134" s="5" t="n">
        <v>130</v>
      </c>
      <c r="B134" s="5" t="n">
        <v>217</v>
      </c>
      <c r="C134" s="5" t="s">
        <v>145</v>
      </c>
      <c r="D134" s="5" t="s">
        <v>19</v>
      </c>
      <c r="E134" s="5" t="n">
        <v>6</v>
      </c>
      <c r="F134" s="6" t="n">
        <v>1550</v>
      </c>
      <c r="G134" s="5" t="s">
        <v>16</v>
      </c>
      <c r="H134" s="7" t="n">
        <f aca="false">IF(F134="","",ROUND(F134*(1-$B$2),-1))</f>
        <v>1520</v>
      </c>
      <c r="I134" s="7" t="n">
        <f aca="false">IF(H134="","",E134*H134)</f>
        <v>9120</v>
      </c>
    </row>
    <row r="135" customFormat="false" ht="15" hidden="false" customHeight="false" outlineLevel="0" collapsed="false">
      <c r="A135" s="5" t="n">
        <v>131</v>
      </c>
      <c r="B135" s="5" t="n">
        <v>217</v>
      </c>
      <c r="C135" s="5" t="s">
        <v>146</v>
      </c>
      <c r="D135" s="5" t="s">
        <v>19</v>
      </c>
      <c r="E135" s="5" t="n">
        <v>2</v>
      </c>
      <c r="F135" s="6"/>
      <c r="G135" s="5"/>
      <c r="H135" s="7" t="str">
        <f aca="false">IF(F135="","",ROUND(F135*(1-$B$2),-1))</f>
        <v/>
      </c>
      <c r="I135" s="7" t="str">
        <f aca="false">IF(H135="","",E135*H135)</f>
        <v/>
      </c>
    </row>
    <row r="136" customFormat="false" ht="15" hidden="false" customHeight="false" outlineLevel="0" collapsed="false">
      <c r="A136" s="5" t="n">
        <v>132</v>
      </c>
      <c r="B136" s="5" t="n">
        <v>217</v>
      </c>
      <c r="C136" s="5" t="s">
        <v>147</v>
      </c>
      <c r="D136" s="5" t="s">
        <v>132</v>
      </c>
      <c r="E136" s="5" t="n">
        <v>10</v>
      </c>
      <c r="F136" s="6"/>
      <c r="G136" s="5"/>
      <c r="H136" s="7" t="str">
        <f aca="false">IF(F136="","",ROUND(F136*(1-$B$2),-1))</f>
        <v/>
      </c>
      <c r="I136" s="7" t="str">
        <f aca="false">IF(H136="","",E136*H136)</f>
        <v/>
      </c>
    </row>
    <row r="137" customFormat="false" ht="15" hidden="false" customHeight="false" outlineLevel="0" collapsed="false">
      <c r="A137" s="5" t="n">
        <v>133</v>
      </c>
      <c r="B137" s="5" t="n">
        <v>217</v>
      </c>
      <c r="C137" s="5" t="s">
        <v>148</v>
      </c>
      <c r="D137" s="5" t="s">
        <v>19</v>
      </c>
      <c r="E137" s="5" t="n">
        <v>6</v>
      </c>
      <c r="F137" s="6"/>
      <c r="G137" s="5"/>
      <c r="H137" s="7" t="str">
        <f aca="false">IF(F137="","",ROUND(F137*(1-$B$2),-1))</f>
        <v/>
      </c>
      <c r="I137" s="7" t="str">
        <f aca="false">IF(H137="","",E137*H137)</f>
        <v/>
      </c>
    </row>
    <row r="138" customFormat="false" ht="15" hidden="false" customHeight="false" outlineLevel="0" collapsed="false">
      <c r="A138" s="5" t="n">
        <v>134</v>
      </c>
      <c r="B138" s="5" t="n">
        <v>217</v>
      </c>
      <c r="C138" s="5" t="s">
        <v>149</v>
      </c>
      <c r="D138" s="5" t="s">
        <v>150</v>
      </c>
      <c r="E138" s="5" t="n">
        <v>6</v>
      </c>
      <c r="F138" s="6"/>
      <c r="G138" s="5"/>
      <c r="H138" s="7" t="str">
        <f aca="false">IF(F138="","",ROUND(F138*(1-$B$2),-1))</f>
        <v/>
      </c>
      <c r="I138" s="7" t="str">
        <f aca="false">IF(H138="","",E138*H138)</f>
        <v/>
      </c>
    </row>
    <row r="139" customFormat="false" ht="15" hidden="false" customHeight="false" outlineLevel="0" collapsed="false">
      <c r="A139" s="5" t="n">
        <v>135</v>
      </c>
      <c r="B139" s="5" t="n">
        <v>217</v>
      </c>
      <c r="C139" s="5" t="s">
        <v>151</v>
      </c>
      <c r="D139" s="5" t="s">
        <v>19</v>
      </c>
      <c r="E139" s="5" t="n">
        <v>6</v>
      </c>
      <c r="F139" s="6"/>
      <c r="G139" s="5"/>
      <c r="H139" s="7" t="str">
        <f aca="false">IF(F139="","",ROUND(F139*(1-$B$2),-1))</f>
        <v/>
      </c>
      <c r="I139" s="7" t="str">
        <f aca="false">IF(H139="","",E139*H139)</f>
        <v/>
      </c>
    </row>
    <row r="140" customFormat="false" ht="15" hidden="false" customHeight="false" outlineLevel="0" collapsed="false">
      <c r="A140" s="5" t="n">
        <v>136</v>
      </c>
      <c r="B140" s="5" t="n">
        <v>217</v>
      </c>
      <c r="C140" s="5" t="s">
        <v>152</v>
      </c>
      <c r="D140" s="5" t="s">
        <v>19</v>
      </c>
      <c r="E140" s="5" t="n">
        <v>500</v>
      </c>
      <c r="F140" s="6"/>
      <c r="G140" s="5"/>
      <c r="H140" s="7" t="str">
        <f aca="false">IF(F140="","",ROUND(F140*(1-$B$2),-1))</f>
        <v/>
      </c>
      <c r="I140" s="7" t="str">
        <f aca="false">IF(H140="","",E140*H140)</f>
        <v/>
      </c>
    </row>
    <row r="141" customFormat="false" ht="15" hidden="false" customHeight="false" outlineLevel="0" collapsed="false">
      <c r="A141" s="5" t="n">
        <v>137</v>
      </c>
      <c r="B141" s="5" t="n">
        <v>217</v>
      </c>
      <c r="C141" s="5" t="s">
        <v>153</v>
      </c>
      <c r="D141" s="5" t="s">
        <v>19</v>
      </c>
      <c r="E141" s="5" t="n">
        <v>12</v>
      </c>
      <c r="F141" s="6"/>
      <c r="G141" s="5"/>
      <c r="H141" s="7" t="str">
        <f aca="false">IF(F141="","",ROUND(F141*(1-$B$2),-1))</f>
        <v/>
      </c>
      <c r="I141" s="7" t="str">
        <f aca="false">IF(H141="","",E141*H141)</f>
        <v/>
      </c>
    </row>
    <row r="142" customFormat="false" ht="15" hidden="false" customHeight="false" outlineLevel="0" collapsed="false">
      <c r="A142" s="5" t="n">
        <v>138</v>
      </c>
      <c r="B142" s="5" t="n">
        <v>217</v>
      </c>
      <c r="C142" s="5" t="s">
        <v>154</v>
      </c>
      <c r="D142" s="5" t="s">
        <v>19</v>
      </c>
      <c r="E142" s="5" t="n">
        <v>24</v>
      </c>
      <c r="F142" s="6"/>
      <c r="G142" s="5"/>
      <c r="H142" s="7" t="str">
        <f aca="false">IF(F142="","",ROUND(F142*(1-$B$2),-1))</f>
        <v/>
      </c>
      <c r="I142" s="7" t="str">
        <f aca="false">IF(H142="","",E142*H142)</f>
        <v/>
      </c>
    </row>
    <row r="143" customFormat="false" ht="15" hidden="false" customHeight="false" outlineLevel="0" collapsed="false">
      <c r="A143" s="5" t="n">
        <v>139</v>
      </c>
      <c r="B143" s="5" t="n">
        <v>217</v>
      </c>
      <c r="C143" s="5" t="s">
        <v>155</v>
      </c>
      <c r="D143" s="5" t="s">
        <v>19</v>
      </c>
      <c r="E143" s="5" t="n">
        <v>24</v>
      </c>
      <c r="F143" s="6"/>
      <c r="G143" s="5"/>
      <c r="H143" s="7" t="str">
        <f aca="false">IF(F143="","",ROUND(F143*(1-$B$2),-1))</f>
        <v/>
      </c>
      <c r="I143" s="7" t="str">
        <f aca="false">IF(H143="","",E143*H143)</f>
        <v/>
      </c>
    </row>
    <row r="144" customFormat="false" ht="15" hidden="false" customHeight="false" outlineLevel="0" collapsed="false">
      <c r="A144" s="5" t="n">
        <v>140</v>
      </c>
      <c r="B144" s="5" t="n">
        <v>217</v>
      </c>
      <c r="C144" s="5" t="s">
        <v>156</v>
      </c>
      <c r="D144" s="5" t="s">
        <v>19</v>
      </c>
      <c r="E144" s="5" t="n">
        <v>24</v>
      </c>
      <c r="F144" s="6" t="n">
        <v>550</v>
      </c>
      <c r="G144" s="5" t="s">
        <v>16</v>
      </c>
      <c r="H144" s="7" t="n">
        <f aca="false">IF(F144="","",ROUND(F144*(1-$B$2),-1))</f>
        <v>540</v>
      </c>
      <c r="I144" s="7" t="n">
        <f aca="false">IF(H144="","",E144*H144)</f>
        <v>12960</v>
      </c>
    </row>
    <row r="145" customFormat="false" ht="15" hidden="false" customHeight="false" outlineLevel="0" collapsed="false">
      <c r="A145" s="5" t="n">
        <v>141</v>
      </c>
      <c r="B145" s="5" t="n">
        <v>217</v>
      </c>
      <c r="C145" s="5" t="s">
        <v>157</v>
      </c>
      <c r="D145" s="5" t="s">
        <v>19</v>
      </c>
      <c r="E145" s="5" t="n">
        <v>12</v>
      </c>
      <c r="F145" s="6" t="n">
        <v>550</v>
      </c>
      <c r="G145" s="5" t="s">
        <v>16</v>
      </c>
      <c r="H145" s="7" t="n">
        <f aca="false">IF(F145="","",ROUND(F145*(1-$B$2),-1))</f>
        <v>540</v>
      </c>
      <c r="I145" s="7" t="n">
        <f aca="false">IF(H145="","",E145*H145)</f>
        <v>6480</v>
      </c>
    </row>
    <row r="146" customFormat="false" ht="15" hidden="false" customHeight="false" outlineLevel="0" collapsed="false">
      <c r="A146" s="5" t="n">
        <v>142</v>
      </c>
      <c r="B146" s="5" t="n">
        <v>217</v>
      </c>
      <c r="C146" s="5" t="s">
        <v>158</v>
      </c>
      <c r="D146" s="5" t="s">
        <v>19</v>
      </c>
      <c r="E146" s="5" t="n">
        <v>3</v>
      </c>
      <c r="F146" s="6"/>
      <c r="G146" s="5"/>
      <c r="H146" s="7" t="str">
        <f aca="false">IF(F146="","",ROUND(F146*(1-$B$2),-1))</f>
        <v/>
      </c>
      <c r="I146" s="7" t="str">
        <f aca="false">IF(H146="","",E146*H146)</f>
        <v/>
      </c>
    </row>
    <row r="147" customFormat="false" ht="15" hidden="false" customHeight="false" outlineLevel="0" collapsed="false">
      <c r="A147" s="5" t="n">
        <v>143</v>
      </c>
      <c r="B147" s="5" t="n">
        <v>217</v>
      </c>
      <c r="C147" s="5" t="s">
        <v>159</v>
      </c>
      <c r="D147" s="5" t="s">
        <v>19</v>
      </c>
      <c r="E147" s="5" t="n">
        <v>3</v>
      </c>
      <c r="F147" s="6" t="n">
        <v>4000</v>
      </c>
      <c r="G147" s="5" t="s">
        <v>16</v>
      </c>
      <c r="H147" s="7" t="n">
        <f aca="false">IF(F147="","",ROUND(F147*(1-$B$2),-1))</f>
        <v>3920</v>
      </c>
      <c r="I147" s="7" t="n">
        <f aca="false">IF(H147="","",E147*H147)</f>
        <v>11760</v>
      </c>
    </row>
    <row r="148" customFormat="false" ht="15" hidden="false" customHeight="false" outlineLevel="0" collapsed="false">
      <c r="A148" s="5" t="n">
        <v>144</v>
      </c>
      <c r="B148" s="5" t="n">
        <v>217</v>
      </c>
      <c r="C148" s="5" t="s">
        <v>160</v>
      </c>
      <c r="D148" s="5" t="s">
        <v>19</v>
      </c>
      <c r="E148" s="5" t="n">
        <v>3</v>
      </c>
      <c r="F148" s="6" t="n">
        <v>4000</v>
      </c>
      <c r="G148" s="5" t="s">
        <v>16</v>
      </c>
      <c r="H148" s="7" t="n">
        <f aca="false">IF(F148="","",ROUND(F148*(1-$B$2),-1))</f>
        <v>3920</v>
      </c>
      <c r="I148" s="7" t="n">
        <f aca="false">IF(H148="","",E148*H148)</f>
        <v>11760</v>
      </c>
    </row>
    <row r="149" customFormat="false" ht="15" hidden="false" customHeight="false" outlineLevel="0" collapsed="false">
      <c r="A149" s="5" t="n">
        <v>145</v>
      </c>
      <c r="B149" s="5" t="n">
        <v>217</v>
      </c>
      <c r="C149" s="5" t="s">
        <v>161</v>
      </c>
      <c r="D149" s="5" t="s">
        <v>132</v>
      </c>
      <c r="E149" s="5" t="n">
        <v>500</v>
      </c>
      <c r="F149" s="6"/>
      <c r="G149" s="5"/>
      <c r="H149" s="7" t="str">
        <f aca="false">IF(F149="","",ROUND(F149*(1-$B$2),-1))</f>
        <v/>
      </c>
      <c r="I149" s="7" t="str">
        <f aca="false">IF(H149="","",E149*H149)</f>
        <v/>
      </c>
    </row>
    <row r="150" customFormat="false" ht="15" hidden="false" customHeight="false" outlineLevel="0" collapsed="false">
      <c r="A150" s="5" t="n">
        <v>146</v>
      </c>
      <c r="B150" s="5" t="n">
        <v>217</v>
      </c>
      <c r="C150" s="5" t="s">
        <v>162</v>
      </c>
      <c r="D150" s="5" t="s">
        <v>19</v>
      </c>
      <c r="E150" s="5" t="n">
        <v>1</v>
      </c>
      <c r="F150" s="6" t="n">
        <v>9000</v>
      </c>
      <c r="G150" s="5" t="s">
        <v>16</v>
      </c>
      <c r="H150" s="7" t="n">
        <f aca="false">IF(F150="","",ROUND(F150*(1-$B$2),-1))</f>
        <v>8820</v>
      </c>
      <c r="I150" s="7" t="n">
        <f aca="false">IF(H150="","",E150*H150)</f>
        <v>8820</v>
      </c>
    </row>
    <row r="151" customFormat="false" ht="15" hidden="false" customHeight="false" outlineLevel="0" collapsed="false">
      <c r="A151" s="5" t="n">
        <v>147</v>
      </c>
      <c r="B151" s="5" t="n">
        <v>217</v>
      </c>
      <c r="C151" s="5" t="s">
        <v>163</v>
      </c>
      <c r="D151" s="5" t="s">
        <v>19</v>
      </c>
      <c r="E151" s="5" t="n">
        <v>1</v>
      </c>
      <c r="F151" s="6" t="n">
        <v>120000</v>
      </c>
      <c r="G151" s="5" t="s">
        <v>16</v>
      </c>
      <c r="H151" s="7" t="n">
        <f aca="false">IF(F151="","",ROUND(F151*(1-$B$2),-1))</f>
        <v>117600</v>
      </c>
      <c r="I151" s="7" t="n">
        <f aca="false">IF(H151="","",E151*H151)</f>
        <v>117600</v>
      </c>
    </row>
    <row r="152" customFormat="false" ht="15" hidden="false" customHeight="false" outlineLevel="0" collapsed="false">
      <c r="A152" s="5" t="n">
        <v>148</v>
      </c>
      <c r="B152" s="5" t="n">
        <v>217</v>
      </c>
      <c r="C152" s="5" t="s">
        <v>164</v>
      </c>
      <c r="D152" s="5" t="s">
        <v>19</v>
      </c>
      <c r="E152" s="5" t="n">
        <v>12</v>
      </c>
      <c r="F152" s="6"/>
      <c r="G152" s="5"/>
      <c r="H152" s="7" t="str">
        <f aca="false">IF(F152="","",ROUND(F152*(1-$B$2),-1))</f>
        <v/>
      </c>
      <c r="I152" s="7" t="str">
        <f aca="false">IF(H152="","",E152*H152)</f>
        <v/>
      </c>
    </row>
    <row r="153" customFormat="false" ht="15" hidden="false" customHeight="false" outlineLevel="0" collapsed="false">
      <c r="A153" s="5" t="n">
        <v>149</v>
      </c>
      <c r="B153" s="5" t="n">
        <v>217</v>
      </c>
      <c r="C153" s="5" t="s">
        <v>165</v>
      </c>
      <c r="D153" s="5" t="s">
        <v>19</v>
      </c>
      <c r="E153" s="5" t="n">
        <v>100</v>
      </c>
      <c r="F153" s="6" t="n">
        <v>1614</v>
      </c>
      <c r="G153" s="5" t="s">
        <v>16</v>
      </c>
      <c r="H153" s="7" t="n">
        <f aca="false">IF(F153="","",ROUND(F153*(1-$B$2),-1))</f>
        <v>1580</v>
      </c>
      <c r="I153" s="7" t="n">
        <f aca="false">IF(H153="","",E153*H153)</f>
        <v>158000</v>
      </c>
    </row>
    <row r="154" customFormat="false" ht="15" hidden="false" customHeight="false" outlineLevel="0" collapsed="false">
      <c r="A154" s="5" t="n">
        <v>150</v>
      </c>
      <c r="B154" s="5" t="n">
        <v>217</v>
      </c>
      <c r="C154" s="5" t="s">
        <v>166</v>
      </c>
      <c r="D154" s="5" t="s">
        <v>150</v>
      </c>
      <c r="E154" s="5" t="n">
        <v>100</v>
      </c>
      <c r="F154" s="6" t="n">
        <v>480</v>
      </c>
      <c r="G154" s="5" t="s">
        <v>16</v>
      </c>
      <c r="H154" s="7" t="n">
        <f aca="false">IF(F154="","",ROUND(F154*(1-$B$2),-1))</f>
        <v>470</v>
      </c>
      <c r="I154" s="7" t="n">
        <f aca="false">IF(H154="","",E154*H154)</f>
        <v>47000</v>
      </c>
    </row>
    <row r="155" customFormat="false" ht="15" hidden="false" customHeight="false" outlineLevel="0" collapsed="false">
      <c r="A155" s="5" t="n">
        <v>151</v>
      </c>
      <c r="B155" s="5" t="n">
        <v>217</v>
      </c>
      <c r="C155" s="5" t="s">
        <v>167</v>
      </c>
      <c r="D155" s="5" t="s">
        <v>150</v>
      </c>
      <c r="E155" s="5" t="n">
        <v>100</v>
      </c>
      <c r="F155" s="6" t="n">
        <v>230</v>
      </c>
      <c r="G155" s="5" t="s">
        <v>16</v>
      </c>
      <c r="H155" s="7" t="n">
        <f aca="false">IF(F155="","",ROUND(F155*(1-$B$2),-1))</f>
        <v>230</v>
      </c>
      <c r="I155" s="7" t="n">
        <f aca="false">IF(H155="","",E155*H155)</f>
        <v>23000</v>
      </c>
    </row>
    <row r="156" customFormat="false" ht="15" hidden="false" customHeight="false" outlineLevel="0" collapsed="false">
      <c r="A156" s="5" t="n">
        <v>152</v>
      </c>
      <c r="B156" s="5" t="n">
        <v>217</v>
      </c>
      <c r="C156" s="5" t="s">
        <v>168</v>
      </c>
      <c r="D156" s="5" t="s">
        <v>150</v>
      </c>
      <c r="E156" s="5" t="n">
        <v>24</v>
      </c>
      <c r="F156" s="6"/>
      <c r="G156" s="5"/>
      <c r="H156" s="7" t="str">
        <f aca="false">IF(F156="","",ROUND(F156*(1-$B$2),-1))</f>
        <v/>
      </c>
      <c r="I156" s="7" t="str">
        <f aca="false">IF(H156="","",E156*H156)</f>
        <v/>
      </c>
    </row>
    <row r="157" customFormat="false" ht="15" hidden="false" customHeight="false" outlineLevel="0" collapsed="false">
      <c r="A157" s="5" t="n">
        <v>153</v>
      </c>
      <c r="B157" s="5" t="n">
        <v>217</v>
      </c>
      <c r="C157" s="5" t="s">
        <v>169</v>
      </c>
      <c r="D157" s="5" t="s">
        <v>19</v>
      </c>
      <c r="E157" s="5" t="n">
        <v>24</v>
      </c>
      <c r="F157" s="6"/>
      <c r="G157" s="5"/>
      <c r="H157" s="7" t="str">
        <f aca="false">IF(F157="","",ROUND(F157*(1-$B$2),-1))</f>
        <v/>
      </c>
      <c r="I157" s="7" t="str">
        <f aca="false">IF(H157="","",E157*H157)</f>
        <v/>
      </c>
    </row>
    <row r="158" customFormat="false" ht="15" hidden="false" customHeight="false" outlineLevel="0" collapsed="false">
      <c r="A158" s="5" t="n">
        <v>154</v>
      </c>
      <c r="B158" s="5" t="n">
        <v>217</v>
      </c>
      <c r="C158" s="5" t="s">
        <v>170</v>
      </c>
      <c r="D158" s="5" t="s">
        <v>19</v>
      </c>
      <c r="E158" s="5" t="n">
        <v>12</v>
      </c>
      <c r="F158" s="6"/>
      <c r="G158" s="5"/>
      <c r="H158" s="7" t="str">
        <f aca="false">IF(F158="","",ROUND(F158*(1-$B$2),-1))</f>
        <v/>
      </c>
      <c r="I158" s="7" t="str">
        <f aca="false">IF(H158="","",E158*H158)</f>
        <v/>
      </c>
    </row>
    <row r="159" customFormat="false" ht="15" hidden="false" customHeight="false" outlineLevel="0" collapsed="false">
      <c r="A159" s="5" t="n">
        <v>155</v>
      </c>
      <c r="B159" s="5" t="n">
        <v>217</v>
      </c>
      <c r="C159" s="5" t="s">
        <v>171</v>
      </c>
      <c r="D159" s="5" t="s">
        <v>19</v>
      </c>
      <c r="E159" s="5" t="n">
        <v>50</v>
      </c>
      <c r="F159" s="6"/>
      <c r="G159" s="5"/>
      <c r="H159" s="7" t="str">
        <f aca="false">IF(F159="","",ROUND(F159*(1-$B$2),-1))</f>
        <v/>
      </c>
      <c r="I159" s="7" t="str">
        <f aca="false">IF(H159="","",E159*H159)</f>
        <v/>
      </c>
    </row>
    <row r="160" customFormat="false" ht="15" hidden="false" customHeight="false" outlineLevel="0" collapsed="false">
      <c r="A160" s="5" t="n">
        <v>156</v>
      </c>
      <c r="B160" s="5" t="n">
        <v>217</v>
      </c>
      <c r="C160" s="5" t="s">
        <v>172</v>
      </c>
      <c r="D160" s="5" t="s">
        <v>19</v>
      </c>
      <c r="E160" s="5" t="n">
        <v>30</v>
      </c>
      <c r="F160" s="6"/>
      <c r="G160" s="5"/>
      <c r="H160" s="7" t="str">
        <f aca="false">IF(F160="","",ROUND(F160*(1-$B$2),-1))</f>
        <v/>
      </c>
      <c r="I160" s="7" t="str">
        <f aca="false">IF(H160="","",E160*H160)</f>
        <v/>
      </c>
    </row>
    <row r="161" customFormat="false" ht="15" hidden="false" customHeight="false" outlineLevel="0" collapsed="false">
      <c r="A161" s="5" t="n">
        <v>157</v>
      </c>
      <c r="B161" s="5" t="n">
        <v>217</v>
      </c>
      <c r="C161" s="5" t="s">
        <v>173</v>
      </c>
      <c r="D161" s="5" t="s">
        <v>19</v>
      </c>
      <c r="E161" s="5" t="n">
        <v>30</v>
      </c>
      <c r="F161" s="6" t="n">
        <v>688</v>
      </c>
      <c r="G161" s="5" t="s">
        <v>16</v>
      </c>
      <c r="H161" s="7" t="n">
        <f aca="false">IF(F161="","",ROUND(F161*(1-$B$2),-1))</f>
        <v>670</v>
      </c>
      <c r="I161" s="7" t="n">
        <f aca="false">IF(H161="","",E161*H161)</f>
        <v>20100</v>
      </c>
    </row>
    <row r="162" customFormat="false" ht="15" hidden="false" customHeight="false" outlineLevel="0" collapsed="false">
      <c r="A162" s="5" t="n">
        <v>158</v>
      </c>
      <c r="B162" s="5" t="n">
        <v>217</v>
      </c>
      <c r="C162" s="5" t="s">
        <v>174</v>
      </c>
      <c r="D162" s="5" t="s">
        <v>19</v>
      </c>
      <c r="E162" s="5" t="n">
        <v>12</v>
      </c>
      <c r="F162" s="6"/>
      <c r="G162" s="5"/>
      <c r="H162" s="7" t="str">
        <f aca="false">IF(F162="","",ROUND(F162*(1-$B$2),-1))</f>
        <v/>
      </c>
      <c r="I162" s="7" t="str">
        <f aca="false">IF(H162="","",E162*H162)</f>
        <v/>
      </c>
    </row>
    <row r="163" customFormat="false" ht="15" hidden="false" customHeight="false" outlineLevel="0" collapsed="false">
      <c r="A163" s="5" t="n">
        <v>159</v>
      </c>
      <c r="B163" s="5" t="n">
        <v>217</v>
      </c>
      <c r="C163" s="5" t="s">
        <v>175</v>
      </c>
      <c r="D163" s="5" t="s">
        <v>176</v>
      </c>
      <c r="E163" s="5" t="n">
        <v>100</v>
      </c>
      <c r="F163" s="6"/>
      <c r="G163" s="5"/>
      <c r="H163" s="7" t="str">
        <f aca="false">IF(F163="","",ROUND(F163*(1-$B$2),-1))</f>
        <v/>
      </c>
      <c r="I163" s="7" t="str">
        <f aca="false">IF(H163="","",E163*H163)</f>
        <v/>
      </c>
    </row>
    <row r="164" customFormat="false" ht="15" hidden="false" customHeight="false" outlineLevel="0" collapsed="false">
      <c r="A164" s="5" t="n">
        <v>160</v>
      </c>
      <c r="B164" s="5" t="n">
        <v>217</v>
      </c>
      <c r="C164" s="5" t="s">
        <v>177</v>
      </c>
      <c r="D164" s="5" t="s">
        <v>19</v>
      </c>
      <c r="E164" s="5" t="n">
        <v>150</v>
      </c>
      <c r="F164" s="6"/>
      <c r="G164" s="5"/>
      <c r="H164" s="7" t="str">
        <f aca="false">IF(F164="","",ROUND(F164*(1-$B$2),-1))</f>
        <v/>
      </c>
      <c r="I164" s="7" t="str">
        <f aca="false">IF(H164="","",E164*H164)</f>
        <v/>
      </c>
    </row>
    <row r="165" customFormat="false" ht="15" hidden="false" customHeight="false" outlineLevel="0" collapsed="false">
      <c r="A165" s="5" t="n">
        <v>161</v>
      </c>
      <c r="B165" s="5" t="n">
        <v>217</v>
      </c>
      <c r="C165" s="5" t="s">
        <v>178</v>
      </c>
      <c r="D165" s="5" t="s">
        <v>19</v>
      </c>
      <c r="E165" s="5" t="n">
        <v>150</v>
      </c>
      <c r="F165" s="6"/>
      <c r="G165" s="5"/>
      <c r="H165" s="7" t="str">
        <f aca="false">IF(F165="","",ROUND(F165*(1-$B$2),-1))</f>
        <v/>
      </c>
      <c r="I165" s="7" t="str">
        <f aca="false">IF(H165="","",E165*H165)</f>
        <v/>
      </c>
    </row>
    <row r="166" customFormat="false" ht="15" hidden="false" customHeight="false" outlineLevel="0" collapsed="false">
      <c r="A166" s="5" t="n">
        <v>162</v>
      </c>
      <c r="B166" s="5" t="n">
        <v>217</v>
      </c>
      <c r="C166" s="5" t="s">
        <v>179</v>
      </c>
      <c r="D166" s="5" t="s">
        <v>19</v>
      </c>
      <c r="E166" s="5" t="n">
        <v>150</v>
      </c>
      <c r="F166" s="6"/>
      <c r="G166" s="5"/>
      <c r="H166" s="7" t="str">
        <f aca="false">IF(F166="","",ROUND(F166*(1-$B$2),-1))</f>
        <v/>
      </c>
      <c r="I166" s="7" t="str">
        <f aca="false">IF(H166="","",E166*H166)</f>
        <v/>
      </c>
    </row>
    <row r="167" customFormat="false" ht="15" hidden="false" customHeight="false" outlineLevel="0" collapsed="false">
      <c r="A167" s="5" t="n">
        <v>164</v>
      </c>
      <c r="B167" s="5" t="n">
        <v>217</v>
      </c>
      <c r="C167" s="5" t="s">
        <v>180</v>
      </c>
      <c r="D167" s="5" t="s">
        <v>176</v>
      </c>
      <c r="E167" s="5" t="n">
        <v>40</v>
      </c>
      <c r="F167" s="6"/>
      <c r="G167" s="5"/>
      <c r="H167" s="7" t="str">
        <f aca="false">IF(F167="","",ROUND(F167*(1-$B$2),-1))</f>
        <v/>
      </c>
      <c r="I167" s="7" t="str">
        <f aca="false">IF(H167="","",E167*H167)</f>
        <v/>
      </c>
    </row>
    <row r="168" customFormat="false" ht="15" hidden="false" customHeight="false" outlineLevel="0" collapsed="false">
      <c r="A168" s="5" t="n">
        <v>165</v>
      </c>
      <c r="B168" s="5" t="n">
        <v>217</v>
      </c>
      <c r="C168" s="5" t="s">
        <v>181</v>
      </c>
      <c r="D168" s="5" t="s">
        <v>176</v>
      </c>
      <c r="E168" s="5" t="n">
        <v>40</v>
      </c>
      <c r="F168" s="6"/>
      <c r="G168" s="5"/>
      <c r="H168" s="7" t="str">
        <f aca="false">IF(F168="","",ROUND(F168*(1-$B$2),-1))</f>
        <v/>
      </c>
      <c r="I168" s="7" t="str">
        <f aca="false">IF(H168="","",E168*H168)</f>
        <v/>
      </c>
    </row>
    <row r="169" customFormat="false" ht="15" hidden="false" customHeight="false" outlineLevel="0" collapsed="false">
      <c r="A169" s="5" t="n">
        <v>166</v>
      </c>
      <c r="B169" s="5" t="n">
        <v>217</v>
      </c>
      <c r="C169" s="5" t="s">
        <v>182</v>
      </c>
      <c r="D169" s="5" t="s">
        <v>176</v>
      </c>
      <c r="E169" s="5" t="n">
        <v>20</v>
      </c>
      <c r="F169" s="6"/>
      <c r="G169" s="5"/>
      <c r="H169" s="7" t="str">
        <f aca="false">IF(F169="","",ROUND(F169*(1-$B$2),-1))</f>
        <v/>
      </c>
      <c r="I169" s="7" t="str">
        <f aca="false">IF(H169="","",E169*H169)</f>
        <v/>
      </c>
    </row>
    <row r="170" customFormat="false" ht="15" hidden="false" customHeight="false" outlineLevel="0" collapsed="false">
      <c r="A170" s="5" t="n">
        <v>167</v>
      </c>
      <c r="B170" s="5" t="n">
        <v>217</v>
      </c>
      <c r="C170" s="5" t="s">
        <v>183</v>
      </c>
      <c r="D170" s="5" t="s">
        <v>176</v>
      </c>
      <c r="E170" s="5" t="n">
        <v>40</v>
      </c>
      <c r="F170" s="6" t="n">
        <v>3850</v>
      </c>
      <c r="G170" s="5" t="s">
        <v>16</v>
      </c>
      <c r="H170" s="7" t="n">
        <f aca="false">IF(F170="","",ROUND(F170*(1-$B$2),-1))</f>
        <v>3770</v>
      </c>
      <c r="I170" s="7" t="n">
        <f aca="false">IF(H170="","",E170*H170)</f>
        <v>150800</v>
      </c>
    </row>
    <row r="171" customFormat="false" ht="15" hidden="false" customHeight="false" outlineLevel="0" collapsed="false">
      <c r="A171" s="5" t="n">
        <v>168</v>
      </c>
      <c r="B171" s="5" t="n">
        <v>217</v>
      </c>
      <c r="C171" s="5" t="s">
        <v>184</v>
      </c>
      <c r="D171" s="5" t="s">
        <v>176</v>
      </c>
      <c r="E171" s="5" t="n">
        <v>20</v>
      </c>
      <c r="F171" s="6"/>
      <c r="G171" s="5"/>
      <c r="H171" s="7" t="str">
        <f aca="false">IF(F171="","",ROUND(F171*(1-$B$2),-1))</f>
        <v/>
      </c>
      <c r="I171" s="7" t="str">
        <f aca="false">IF(H171="","",E171*H171)</f>
        <v/>
      </c>
    </row>
    <row r="172" customFormat="false" ht="15" hidden="false" customHeight="false" outlineLevel="0" collapsed="false">
      <c r="A172" s="5" t="n">
        <v>169</v>
      </c>
      <c r="B172" s="5" t="n">
        <v>217</v>
      </c>
      <c r="C172" s="5" t="s">
        <v>185</v>
      </c>
      <c r="D172" s="5" t="s">
        <v>176</v>
      </c>
      <c r="E172" s="5" t="n">
        <v>40</v>
      </c>
      <c r="F172" s="6" t="n">
        <v>2500</v>
      </c>
      <c r="G172" s="5" t="s">
        <v>16</v>
      </c>
      <c r="H172" s="7" t="n">
        <f aca="false">IF(F172="","",ROUND(F172*(1-$B$2),-1))</f>
        <v>2450</v>
      </c>
      <c r="I172" s="7" t="n">
        <f aca="false">IF(H172="","",E172*H172)</f>
        <v>98000</v>
      </c>
    </row>
    <row r="173" customFormat="false" ht="15" hidden="false" customHeight="false" outlineLevel="0" collapsed="false">
      <c r="A173" s="5" t="n">
        <v>170</v>
      </c>
      <c r="B173" s="5" t="n">
        <v>217</v>
      </c>
      <c r="C173" s="5" t="s">
        <v>186</v>
      </c>
      <c r="D173" s="5" t="s">
        <v>176</v>
      </c>
      <c r="E173" s="5" t="n">
        <v>40</v>
      </c>
      <c r="F173" s="6" t="n">
        <v>2800</v>
      </c>
      <c r="G173" s="5" t="s">
        <v>16</v>
      </c>
      <c r="H173" s="7" t="n">
        <f aca="false">IF(F173="","",ROUND(F173*(1-$B$2),-1))</f>
        <v>2740</v>
      </c>
      <c r="I173" s="7" t="n">
        <f aca="false">IF(H173="","",E173*H173)</f>
        <v>109600</v>
      </c>
    </row>
    <row r="174" customFormat="false" ht="15" hidden="false" customHeight="false" outlineLevel="0" collapsed="false">
      <c r="A174" s="5" t="n">
        <v>171</v>
      </c>
      <c r="B174" s="5" t="n">
        <v>217</v>
      </c>
      <c r="C174" s="5" t="s">
        <v>187</v>
      </c>
      <c r="D174" s="5" t="s">
        <v>176</v>
      </c>
      <c r="E174" s="5" t="n">
        <v>20</v>
      </c>
      <c r="F174" s="6" t="n">
        <v>2800</v>
      </c>
      <c r="G174" s="5" t="s">
        <v>16</v>
      </c>
      <c r="H174" s="7" t="n">
        <f aca="false">IF(F174="","",ROUND(F174*(1-$B$2),-1))</f>
        <v>2740</v>
      </c>
      <c r="I174" s="7" t="n">
        <f aca="false">IF(H174="","",E174*H174)</f>
        <v>54800</v>
      </c>
    </row>
    <row r="175" customFormat="false" ht="15" hidden="false" customHeight="false" outlineLevel="0" collapsed="false">
      <c r="A175" s="5" t="n">
        <v>172</v>
      </c>
      <c r="B175" s="5" t="n">
        <v>217</v>
      </c>
      <c r="C175" s="5" t="s">
        <v>188</v>
      </c>
      <c r="D175" s="5" t="s">
        <v>176</v>
      </c>
      <c r="E175" s="5" t="n">
        <v>20</v>
      </c>
      <c r="F175" s="6" t="n">
        <v>1600</v>
      </c>
      <c r="G175" s="5" t="s">
        <v>16</v>
      </c>
      <c r="H175" s="7" t="n">
        <f aca="false">IF(F175="","",ROUND(F175*(1-$B$2),-1))</f>
        <v>1570</v>
      </c>
      <c r="I175" s="7" t="n">
        <f aca="false">IF(H175="","",E175*H175)</f>
        <v>31400</v>
      </c>
    </row>
    <row r="176" customFormat="false" ht="15" hidden="false" customHeight="false" outlineLevel="0" collapsed="false">
      <c r="A176" s="5" t="n">
        <v>173</v>
      </c>
      <c r="B176" s="5" t="n">
        <v>217</v>
      </c>
      <c r="C176" s="5" t="s">
        <v>189</v>
      </c>
      <c r="D176" s="5" t="s">
        <v>176</v>
      </c>
      <c r="E176" s="5" t="n">
        <v>10</v>
      </c>
      <c r="F176" s="6" t="n">
        <v>2500</v>
      </c>
      <c r="G176" s="5" t="s">
        <v>16</v>
      </c>
      <c r="H176" s="7" t="n">
        <f aca="false">IF(F176="","",ROUND(F176*(1-$B$2),-1))</f>
        <v>2450</v>
      </c>
      <c r="I176" s="7" t="n">
        <f aca="false">IF(H176="","",E176*H176)</f>
        <v>24500</v>
      </c>
    </row>
    <row r="177" customFormat="false" ht="15" hidden="false" customHeight="false" outlineLevel="0" collapsed="false">
      <c r="A177" s="5" t="n">
        <v>174</v>
      </c>
      <c r="B177" s="5" t="n">
        <v>217</v>
      </c>
      <c r="C177" s="5" t="s">
        <v>190</v>
      </c>
      <c r="D177" s="5" t="s">
        <v>176</v>
      </c>
      <c r="E177" s="5" t="n">
        <v>10</v>
      </c>
      <c r="F177" s="6" t="n">
        <v>2800</v>
      </c>
      <c r="G177" s="5" t="s">
        <v>16</v>
      </c>
      <c r="H177" s="7" t="n">
        <f aca="false">IF(F177="","",ROUND(F177*(1-$B$2),-1))</f>
        <v>2740</v>
      </c>
      <c r="I177" s="7" t="n">
        <f aca="false">IF(H177="","",E177*H177)</f>
        <v>27400</v>
      </c>
    </row>
    <row r="178" customFormat="false" ht="15" hidden="false" customHeight="false" outlineLevel="0" collapsed="false">
      <c r="A178" s="5" t="n">
        <v>175</v>
      </c>
      <c r="B178" s="5" t="n">
        <v>217</v>
      </c>
      <c r="C178" s="5" t="s">
        <v>191</v>
      </c>
      <c r="D178" s="5" t="s">
        <v>176</v>
      </c>
      <c r="E178" s="5" t="n">
        <v>10</v>
      </c>
      <c r="F178" s="6" t="n">
        <v>2800</v>
      </c>
      <c r="G178" s="5" t="s">
        <v>16</v>
      </c>
      <c r="H178" s="7" t="n">
        <f aca="false">IF(F178="","",ROUND(F178*(1-$B$2),-1))</f>
        <v>2740</v>
      </c>
      <c r="I178" s="7" t="n">
        <f aca="false">IF(H178="","",E178*H178)</f>
        <v>27400</v>
      </c>
    </row>
    <row r="179" customFormat="false" ht="15" hidden="false" customHeight="false" outlineLevel="0" collapsed="false">
      <c r="A179" s="5" t="n">
        <v>176</v>
      </c>
      <c r="B179" s="5" t="n">
        <v>217</v>
      </c>
      <c r="C179" s="5" t="s">
        <v>192</v>
      </c>
      <c r="D179" s="5" t="s">
        <v>176</v>
      </c>
      <c r="E179" s="5" t="n">
        <v>10</v>
      </c>
      <c r="F179" s="6" t="n">
        <v>1600</v>
      </c>
      <c r="G179" s="5" t="s">
        <v>16</v>
      </c>
      <c r="H179" s="7" t="n">
        <f aca="false">IF(F179="","",ROUND(F179*(1-$B$2),-1))</f>
        <v>1570</v>
      </c>
      <c r="I179" s="7" t="n">
        <f aca="false">IF(H179="","",E179*H179)</f>
        <v>15700</v>
      </c>
    </row>
    <row r="180" customFormat="false" ht="15" hidden="false" customHeight="false" outlineLevel="0" collapsed="false">
      <c r="A180" s="5" t="n">
        <v>177</v>
      </c>
      <c r="B180" s="5" t="n">
        <v>217</v>
      </c>
      <c r="C180" s="5" t="s">
        <v>193</v>
      </c>
      <c r="D180" s="5" t="s">
        <v>19</v>
      </c>
      <c r="E180" s="5" t="n">
        <v>3</v>
      </c>
      <c r="F180" s="6" t="n">
        <v>1450</v>
      </c>
      <c r="G180" s="5" t="s">
        <v>16</v>
      </c>
      <c r="H180" s="7" t="n">
        <f aca="false">IF(F180="","",ROUND(F180*(1-$B$2),-1))</f>
        <v>1420</v>
      </c>
      <c r="I180" s="7" t="n">
        <f aca="false">IF(H180="","",E180*H180)</f>
        <v>4260</v>
      </c>
    </row>
    <row r="181" customFormat="false" ht="15" hidden="false" customHeight="false" outlineLevel="0" collapsed="false">
      <c r="A181" s="5" t="n">
        <v>179</v>
      </c>
      <c r="B181" s="5" t="n">
        <v>217</v>
      </c>
      <c r="C181" s="5" t="s">
        <v>194</v>
      </c>
      <c r="D181" s="5" t="s">
        <v>19</v>
      </c>
      <c r="E181" s="5" t="n">
        <v>1</v>
      </c>
      <c r="F181" s="6"/>
      <c r="G181" s="5"/>
      <c r="H181" s="7" t="str">
        <f aca="false">IF(F181="","",ROUND(F181*(1-$B$2),-1))</f>
        <v/>
      </c>
      <c r="I181" s="7" t="str">
        <f aca="false">IF(H181="","",E181*H181)</f>
        <v/>
      </c>
    </row>
    <row r="182" customFormat="false" ht="15" hidden="false" customHeight="false" outlineLevel="0" collapsed="false">
      <c r="A182" s="5" t="n">
        <v>180</v>
      </c>
      <c r="B182" s="5" t="n">
        <v>217</v>
      </c>
      <c r="C182" s="5" t="s">
        <v>195</v>
      </c>
      <c r="D182" s="5" t="s">
        <v>19</v>
      </c>
      <c r="E182" s="5" t="n">
        <v>1</v>
      </c>
      <c r="F182" s="6" t="n">
        <v>8100</v>
      </c>
      <c r="G182" s="5" t="s">
        <v>16</v>
      </c>
      <c r="H182" s="7" t="n">
        <f aca="false">IF(F182="","",ROUND(F182*(1-$B$2),-1))</f>
        <v>7940</v>
      </c>
      <c r="I182" s="7" t="n">
        <f aca="false">IF(H182="","",E182*H182)</f>
        <v>7940</v>
      </c>
    </row>
    <row r="183" customFormat="false" ht="15" hidden="false" customHeight="false" outlineLevel="0" collapsed="false">
      <c r="A183" s="5" t="n">
        <v>181</v>
      </c>
      <c r="B183" s="5" t="n">
        <v>217</v>
      </c>
      <c r="C183" s="5" t="s">
        <v>196</v>
      </c>
      <c r="D183" s="5" t="s">
        <v>19</v>
      </c>
      <c r="E183" s="5" t="n">
        <v>1</v>
      </c>
      <c r="F183" s="6" t="n">
        <v>13500</v>
      </c>
      <c r="G183" s="5" t="s">
        <v>13</v>
      </c>
      <c r="H183" s="7" t="n">
        <f aca="false">IF(F183="","",ROUND(F183*(1-$B$2),-1))</f>
        <v>13230</v>
      </c>
      <c r="I183" s="7" t="n">
        <f aca="false">IF(H183="","",E183*H183)</f>
        <v>13230</v>
      </c>
    </row>
    <row r="184" customFormat="false" ht="15" hidden="false" customHeight="false" outlineLevel="0" collapsed="false">
      <c r="A184" s="5" t="n">
        <v>182</v>
      </c>
      <c r="B184" s="5" t="n">
        <v>217</v>
      </c>
      <c r="C184" s="5" t="s">
        <v>197</v>
      </c>
      <c r="D184" s="5" t="s">
        <v>19</v>
      </c>
      <c r="E184" s="5" t="n">
        <v>1</v>
      </c>
      <c r="F184" s="6" t="n">
        <v>13500</v>
      </c>
      <c r="G184" s="5" t="s">
        <v>16</v>
      </c>
      <c r="H184" s="7" t="n">
        <f aca="false">IF(F184="","",ROUND(F184*(1-$B$2),-1))</f>
        <v>13230</v>
      </c>
      <c r="I184" s="7" t="n">
        <f aca="false">IF(H184="","",E184*H184)</f>
        <v>13230</v>
      </c>
    </row>
    <row r="185" customFormat="false" ht="15" hidden="false" customHeight="false" outlineLevel="0" collapsed="false">
      <c r="A185" s="5" t="n">
        <v>183</v>
      </c>
      <c r="B185" s="5" t="n">
        <v>217</v>
      </c>
      <c r="C185" s="5" t="s">
        <v>198</v>
      </c>
      <c r="D185" s="5" t="s">
        <v>19</v>
      </c>
      <c r="E185" s="5" t="n">
        <v>3</v>
      </c>
      <c r="F185" s="6" t="n">
        <v>1800</v>
      </c>
      <c r="G185" s="5" t="s">
        <v>13</v>
      </c>
      <c r="H185" s="7" t="n">
        <f aca="false">IF(F185="","",ROUND(F185*(1-$B$2),-1))</f>
        <v>1760</v>
      </c>
      <c r="I185" s="7" t="n">
        <f aca="false">IF(H185="","",E185*H185)</f>
        <v>5280</v>
      </c>
    </row>
    <row r="186" customFormat="false" ht="15" hidden="false" customHeight="false" outlineLevel="0" collapsed="false">
      <c r="A186" s="5" t="n">
        <v>184</v>
      </c>
      <c r="B186" s="5" t="n">
        <v>217</v>
      </c>
      <c r="C186" s="5" t="s">
        <v>199</v>
      </c>
      <c r="D186" s="5" t="s">
        <v>19</v>
      </c>
      <c r="E186" s="5" t="n">
        <v>3</v>
      </c>
      <c r="F186" s="6" t="n">
        <v>1850</v>
      </c>
      <c r="G186" s="5" t="s">
        <v>16</v>
      </c>
      <c r="H186" s="7" t="n">
        <f aca="false">IF(F186="","",ROUND(F186*(1-$B$2),-1))</f>
        <v>1810</v>
      </c>
      <c r="I186" s="7" t="n">
        <f aca="false">IF(H186="","",E186*H186)</f>
        <v>5430</v>
      </c>
    </row>
    <row r="187" customFormat="false" ht="15" hidden="false" customHeight="false" outlineLevel="0" collapsed="false">
      <c r="A187" s="5" t="n">
        <v>185</v>
      </c>
      <c r="B187" s="5" t="n">
        <v>217</v>
      </c>
      <c r="C187" s="5" t="s">
        <v>200</v>
      </c>
      <c r="D187" s="5" t="s">
        <v>19</v>
      </c>
      <c r="E187" s="5" t="n">
        <v>3</v>
      </c>
      <c r="F187" s="6" t="n">
        <v>2500</v>
      </c>
      <c r="G187" s="5" t="s">
        <v>13</v>
      </c>
      <c r="H187" s="7" t="n">
        <f aca="false">IF(F187="","",ROUND(F187*(1-$B$2),-1))</f>
        <v>2450</v>
      </c>
      <c r="I187" s="7" t="n">
        <f aca="false">IF(H187="","",E187*H187)</f>
        <v>7350</v>
      </c>
    </row>
    <row r="188" customFormat="false" ht="15" hidden="false" customHeight="false" outlineLevel="0" collapsed="false">
      <c r="A188" s="5" t="n">
        <v>186</v>
      </c>
      <c r="B188" s="5" t="n">
        <v>217</v>
      </c>
      <c r="C188" s="5" t="s">
        <v>201</v>
      </c>
      <c r="D188" s="5" t="s">
        <v>19</v>
      </c>
      <c r="E188" s="5" t="n">
        <v>3</v>
      </c>
      <c r="F188" s="6" t="n">
        <v>2850</v>
      </c>
      <c r="G188" s="5" t="s">
        <v>16</v>
      </c>
      <c r="H188" s="7" t="n">
        <f aca="false">IF(F188="","",ROUND(F188*(1-$B$2),-1))</f>
        <v>2790</v>
      </c>
      <c r="I188" s="7" t="n">
        <f aca="false">IF(H188="","",E188*H188)</f>
        <v>8370</v>
      </c>
    </row>
    <row r="189" customFormat="false" ht="15" hidden="false" customHeight="false" outlineLevel="0" collapsed="false">
      <c r="A189" s="5" t="n">
        <v>187</v>
      </c>
      <c r="B189" s="5" t="n">
        <v>217</v>
      </c>
      <c r="C189" s="5" t="s">
        <v>202</v>
      </c>
      <c r="D189" s="5" t="s">
        <v>19</v>
      </c>
      <c r="E189" s="5" t="n">
        <v>2</v>
      </c>
      <c r="F189" s="6" t="n">
        <v>5200</v>
      </c>
      <c r="G189" s="5" t="s">
        <v>16</v>
      </c>
      <c r="H189" s="7" t="n">
        <f aca="false">IF(F189="","",ROUND(F189*(1-$B$2),-1))</f>
        <v>5100</v>
      </c>
      <c r="I189" s="7" t="n">
        <f aca="false">IF(H189="","",E189*H189)</f>
        <v>10200</v>
      </c>
    </row>
    <row r="190" customFormat="false" ht="15" hidden="false" customHeight="false" outlineLevel="0" collapsed="false">
      <c r="A190" s="5" t="n">
        <v>188</v>
      </c>
      <c r="B190" s="5" t="n">
        <v>217</v>
      </c>
      <c r="C190" s="5" t="s">
        <v>203</v>
      </c>
      <c r="D190" s="5" t="s">
        <v>19</v>
      </c>
      <c r="E190" s="5" t="n">
        <v>1</v>
      </c>
      <c r="F190" s="6" t="n">
        <v>5900</v>
      </c>
      <c r="G190" s="5" t="s">
        <v>16</v>
      </c>
      <c r="H190" s="7" t="n">
        <f aca="false">IF(F190="","",ROUND(F190*(1-$B$2),-1))</f>
        <v>5780</v>
      </c>
      <c r="I190" s="7" t="n">
        <f aca="false">IF(H190="","",E190*H190)</f>
        <v>5780</v>
      </c>
    </row>
    <row r="191" customFormat="false" ht="15" hidden="false" customHeight="false" outlineLevel="0" collapsed="false">
      <c r="A191" s="5" t="n">
        <v>189</v>
      </c>
      <c r="B191" s="5" t="n">
        <v>217</v>
      </c>
      <c r="C191" s="5" t="s">
        <v>204</v>
      </c>
      <c r="D191" s="5" t="s">
        <v>19</v>
      </c>
      <c r="E191" s="5" t="n">
        <v>1</v>
      </c>
      <c r="F191" s="6" t="n">
        <v>6300</v>
      </c>
      <c r="G191" s="5" t="s">
        <v>16</v>
      </c>
      <c r="H191" s="7" t="n">
        <f aca="false">IF(F191="","",ROUND(F191*(1-$B$2),-1))</f>
        <v>6170</v>
      </c>
      <c r="I191" s="7" t="n">
        <f aca="false">IF(H191="","",E191*H191)</f>
        <v>6170</v>
      </c>
    </row>
    <row r="192" customFormat="false" ht="15" hidden="false" customHeight="false" outlineLevel="0" collapsed="false">
      <c r="A192" s="5" t="n">
        <v>190</v>
      </c>
      <c r="B192" s="5" t="n">
        <v>217</v>
      </c>
      <c r="C192" s="5" t="s">
        <v>205</v>
      </c>
      <c r="D192" s="5" t="s">
        <v>19</v>
      </c>
      <c r="E192" s="5" t="n">
        <v>2</v>
      </c>
      <c r="F192" s="6" t="n">
        <v>2328</v>
      </c>
      <c r="G192" s="5" t="s">
        <v>16</v>
      </c>
      <c r="H192" s="7" t="n">
        <f aca="false">IF(F192="","",ROUND(F192*(1-$B$2),-1))</f>
        <v>2280</v>
      </c>
      <c r="I192" s="7" t="n">
        <f aca="false">IF(H192="","",E192*H192)</f>
        <v>4560</v>
      </c>
    </row>
    <row r="193" customFormat="false" ht="15" hidden="false" customHeight="false" outlineLevel="0" collapsed="false">
      <c r="A193" s="5" t="n">
        <v>191</v>
      </c>
      <c r="B193" s="5" t="n">
        <v>217</v>
      </c>
      <c r="C193" s="5" t="s">
        <v>205</v>
      </c>
      <c r="D193" s="5" t="s">
        <v>19</v>
      </c>
      <c r="E193" s="5" t="n">
        <v>2</v>
      </c>
      <c r="F193" s="6" t="n">
        <v>2328</v>
      </c>
      <c r="G193" s="5" t="s">
        <v>16</v>
      </c>
      <c r="H193" s="7" t="n">
        <f aca="false">IF(F193="","",ROUND(F193*(1-$B$2),-1))</f>
        <v>2280</v>
      </c>
      <c r="I193" s="7" t="n">
        <f aca="false">IF(H193="","",E193*H193)</f>
        <v>4560</v>
      </c>
    </row>
    <row r="194" customFormat="false" ht="15" hidden="false" customHeight="false" outlineLevel="0" collapsed="false">
      <c r="A194" s="5" t="n">
        <v>192</v>
      </c>
      <c r="B194" s="5" t="n">
        <v>217</v>
      </c>
      <c r="C194" s="5" t="s">
        <v>206</v>
      </c>
      <c r="D194" s="5" t="s">
        <v>19</v>
      </c>
      <c r="E194" s="5" t="n">
        <v>3</v>
      </c>
      <c r="F194" s="6"/>
      <c r="G194" s="5"/>
      <c r="H194" s="7" t="str">
        <f aca="false">IF(F194="","",ROUND(F194*(1-$B$2),-1))</f>
        <v/>
      </c>
      <c r="I194" s="7" t="str">
        <f aca="false">IF(H194="","",E194*H194)</f>
        <v/>
      </c>
    </row>
    <row r="195" customFormat="false" ht="15" hidden="false" customHeight="false" outlineLevel="0" collapsed="false">
      <c r="A195" s="5" t="n">
        <v>193</v>
      </c>
      <c r="B195" s="5" t="n">
        <v>217</v>
      </c>
      <c r="C195" s="5" t="s">
        <v>207</v>
      </c>
      <c r="D195" s="5" t="s">
        <v>19</v>
      </c>
      <c r="E195" s="5" t="n">
        <v>2</v>
      </c>
      <c r="F195" s="6"/>
      <c r="G195" s="5"/>
      <c r="H195" s="7" t="str">
        <f aca="false">IF(F195="","",ROUND(F195*(1-$B$2),-1))</f>
        <v/>
      </c>
      <c r="I195" s="7" t="str">
        <f aca="false">IF(H195="","",E195*H195)</f>
        <v/>
      </c>
    </row>
    <row r="196" customFormat="false" ht="15" hidden="false" customHeight="false" outlineLevel="0" collapsed="false">
      <c r="A196" s="5" t="n">
        <v>194</v>
      </c>
      <c r="B196" s="5" t="n">
        <v>217</v>
      </c>
      <c r="C196" s="5" t="s">
        <v>208</v>
      </c>
      <c r="D196" s="5" t="s">
        <v>19</v>
      </c>
      <c r="E196" s="5" t="n">
        <v>3</v>
      </c>
      <c r="F196" s="6"/>
      <c r="G196" s="5"/>
      <c r="H196" s="7" t="str">
        <f aca="false">IF(F196="","",ROUND(F196*(1-$B$2),-1))</f>
        <v/>
      </c>
      <c r="I196" s="7" t="str">
        <f aca="false">IF(H196="","",E196*H196)</f>
        <v/>
      </c>
    </row>
    <row r="197" customFormat="false" ht="15" hidden="false" customHeight="false" outlineLevel="0" collapsed="false">
      <c r="A197" s="5" t="n">
        <v>195</v>
      </c>
      <c r="B197" s="5" t="n">
        <v>217</v>
      </c>
      <c r="C197" s="5" t="s">
        <v>209</v>
      </c>
      <c r="D197" s="5" t="s">
        <v>19</v>
      </c>
      <c r="E197" s="5" t="n">
        <v>2</v>
      </c>
      <c r="F197" s="6"/>
      <c r="G197" s="5"/>
      <c r="H197" s="7" t="str">
        <f aca="false">IF(F197="","",ROUND(F197*(1-$B$2),-1))</f>
        <v/>
      </c>
      <c r="I197" s="7" t="str">
        <f aca="false">IF(H197="","",E197*H197)</f>
        <v/>
      </c>
    </row>
    <row r="198" customFormat="false" ht="15" hidden="false" customHeight="false" outlineLevel="0" collapsed="false">
      <c r="A198" s="5" t="n">
        <v>196</v>
      </c>
      <c r="B198" s="5" t="n">
        <v>217</v>
      </c>
      <c r="C198" s="5" t="s">
        <v>210</v>
      </c>
      <c r="D198" s="5" t="s">
        <v>19</v>
      </c>
      <c r="E198" s="5" t="n">
        <v>2</v>
      </c>
      <c r="F198" s="6"/>
      <c r="G198" s="5"/>
      <c r="H198" s="7" t="str">
        <f aca="false">IF(F198="","",ROUND(F198*(1-$B$2),-1))</f>
        <v/>
      </c>
      <c r="I198" s="7" t="str">
        <f aca="false">IF(H198="","",E198*H198)</f>
        <v/>
      </c>
    </row>
    <row r="199" customFormat="false" ht="15" hidden="false" customHeight="false" outlineLevel="0" collapsed="false">
      <c r="A199" s="5" t="n">
        <v>197</v>
      </c>
      <c r="B199" s="5" t="n">
        <v>217</v>
      </c>
      <c r="C199" s="5" t="s">
        <v>211</v>
      </c>
      <c r="D199" s="5" t="s">
        <v>19</v>
      </c>
      <c r="E199" s="5" t="n">
        <v>1</v>
      </c>
      <c r="F199" s="6"/>
      <c r="G199" s="5"/>
      <c r="H199" s="7" t="str">
        <f aca="false">IF(F199="","",ROUND(F199*(1-$B$2),-1))</f>
        <v/>
      </c>
      <c r="I199" s="7" t="str">
        <f aca="false">IF(H199="","",E199*H199)</f>
        <v/>
      </c>
    </row>
    <row r="200" customFormat="false" ht="15" hidden="false" customHeight="false" outlineLevel="0" collapsed="false">
      <c r="A200" s="5" t="n">
        <v>198</v>
      </c>
      <c r="B200" s="5" t="n">
        <v>217</v>
      </c>
      <c r="C200" s="5" t="s">
        <v>212</v>
      </c>
      <c r="D200" s="5" t="s">
        <v>19</v>
      </c>
      <c r="E200" s="5" t="n">
        <v>1</v>
      </c>
      <c r="F200" s="6"/>
      <c r="G200" s="5"/>
      <c r="H200" s="7" t="str">
        <f aca="false">IF(F200="","",ROUND(F200*(1-$B$2),-1))</f>
        <v/>
      </c>
      <c r="I200" s="7" t="str">
        <f aca="false">IF(H200="","",E200*H200)</f>
        <v/>
      </c>
    </row>
    <row r="201" customFormat="false" ht="15" hidden="false" customHeight="false" outlineLevel="0" collapsed="false">
      <c r="A201" s="5" t="n">
        <v>199</v>
      </c>
      <c r="B201" s="5" t="n">
        <v>217</v>
      </c>
      <c r="C201" s="5" t="s">
        <v>213</v>
      </c>
      <c r="D201" s="5" t="s">
        <v>19</v>
      </c>
      <c r="E201" s="5" t="n">
        <v>1</v>
      </c>
      <c r="F201" s="6"/>
      <c r="G201" s="5"/>
      <c r="H201" s="7" t="str">
        <f aca="false">IF(F201="","",ROUND(F201*(1-$B$2),-1))</f>
        <v/>
      </c>
      <c r="I201" s="7" t="str">
        <f aca="false">IF(H201="","",E201*H201)</f>
        <v/>
      </c>
    </row>
    <row r="202" customFormat="false" ht="15" hidden="false" customHeight="false" outlineLevel="0" collapsed="false">
      <c r="A202" s="5" t="n">
        <v>200</v>
      </c>
      <c r="B202" s="5" t="n">
        <v>217</v>
      </c>
      <c r="C202" s="5" t="s">
        <v>214</v>
      </c>
      <c r="D202" s="5" t="s">
        <v>19</v>
      </c>
      <c r="E202" s="5" t="n">
        <v>1</v>
      </c>
      <c r="F202" s="6"/>
      <c r="G202" s="5"/>
      <c r="H202" s="7" t="str">
        <f aca="false">IF(F202="","",ROUND(F202*(1-$B$2),-1))</f>
        <v/>
      </c>
      <c r="I202" s="7" t="str">
        <f aca="false">IF(H202="","",E202*H202)</f>
        <v/>
      </c>
    </row>
    <row r="203" customFormat="false" ht="15" hidden="false" customHeight="false" outlineLevel="0" collapsed="false">
      <c r="A203" s="5" t="n">
        <v>201</v>
      </c>
      <c r="B203" s="5" t="n">
        <v>217</v>
      </c>
      <c r="C203" s="5" t="s">
        <v>215</v>
      </c>
      <c r="D203" s="5" t="s">
        <v>19</v>
      </c>
      <c r="E203" s="5" t="n">
        <v>1</v>
      </c>
      <c r="F203" s="6"/>
      <c r="G203" s="5"/>
      <c r="H203" s="7" t="str">
        <f aca="false">IF(F203="","",ROUND(F203*(1-$B$2),-1))</f>
        <v/>
      </c>
      <c r="I203" s="7" t="str">
        <f aca="false">IF(H203="","",E203*H203)</f>
        <v/>
      </c>
    </row>
    <row r="204" customFormat="false" ht="15" hidden="false" customHeight="false" outlineLevel="0" collapsed="false">
      <c r="A204" s="5" t="n">
        <v>202</v>
      </c>
      <c r="B204" s="5" t="n">
        <v>217</v>
      </c>
      <c r="C204" s="5" t="s">
        <v>216</v>
      </c>
      <c r="D204" s="5" t="s">
        <v>19</v>
      </c>
      <c r="E204" s="5" t="n">
        <v>2</v>
      </c>
      <c r="F204" s="6"/>
      <c r="G204" s="5"/>
      <c r="H204" s="7" t="str">
        <f aca="false">IF(F204="","",ROUND(F204*(1-$B$2),-1))</f>
        <v/>
      </c>
      <c r="I204" s="7" t="str">
        <f aca="false">IF(H204="","",E204*H204)</f>
        <v/>
      </c>
    </row>
    <row r="205" customFormat="false" ht="15" hidden="false" customHeight="false" outlineLevel="0" collapsed="false">
      <c r="A205" s="5" t="n">
        <v>203</v>
      </c>
      <c r="B205" s="5" t="n">
        <v>217</v>
      </c>
      <c r="C205" s="5" t="s">
        <v>217</v>
      </c>
      <c r="D205" s="5" t="s">
        <v>19</v>
      </c>
      <c r="E205" s="5" t="n">
        <v>2</v>
      </c>
      <c r="F205" s="6"/>
      <c r="G205" s="5"/>
      <c r="H205" s="7" t="str">
        <f aca="false">IF(F205="","",ROUND(F205*(1-$B$2),-1))</f>
        <v/>
      </c>
      <c r="I205" s="7" t="str">
        <f aca="false">IF(H205="","",E205*H205)</f>
        <v/>
      </c>
    </row>
    <row r="206" customFormat="false" ht="15" hidden="false" customHeight="false" outlineLevel="0" collapsed="false">
      <c r="A206" s="5" t="n">
        <v>204</v>
      </c>
      <c r="B206" s="5" t="n">
        <v>217</v>
      </c>
      <c r="C206" s="5" t="s">
        <v>218</v>
      </c>
      <c r="D206" s="5" t="s">
        <v>19</v>
      </c>
      <c r="E206" s="5" t="n">
        <v>6</v>
      </c>
      <c r="F206" s="6"/>
      <c r="G206" s="5"/>
      <c r="H206" s="7" t="str">
        <f aca="false">IF(F206="","",ROUND(F206*(1-$B$2),-1))</f>
        <v/>
      </c>
      <c r="I206" s="7" t="str">
        <f aca="false">IF(H206="","",E206*H206)</f>
        <v/>
      </c>
    </row>
    <row r="207" customFormat="false" ht="15" hidden="false" customHeight="false" outlineLevel="0" collapsed="false">
      <c r="A207" s="5" t="n">
        <v>205</v>
      </c>
      <c r="B207" s="5" t="n">
        <v>217</v>
      </c>
      <c r="C207" s="5" t="s">
        <v>219</v>
      </c>
      <c r="D207" s="5" t="s">
        <v>19</v>
      </c>
      <c r="E207" s="5" t="n">
        <v>6</v>
      </c>
      <c r="F207" s="6" t="n">
        <v>8197</v>
      </c>
      <c r="G207" s="5" t="s">
        <v>16</v>
      </c>
      <c r="H207" s="7" t="n">
        <f aca="false">IF(F207="","",ROUND(F207*(1-$B$2),-1))</f>
        <v>8030</v>
      </c>
      <c r="I207" s="7" t="n">
        <f aca="false">IF(H207="","",E207*H207)</f>
        <v>48180</v>
      </c>
    </row>
    <row r="208" customFormat="false" ht="15" hidden="false" customHeight="false" outlineLevel="0" collapsed="false">
      <c r="A208" s="5" t="n">
        <v>206</v>
      </c>
      <c r="B208" s="5" t="n">
        <v>217</v>
      </c>
      <c r="C208" s="5" t="s">
        <v>220</v>
      </c>
      <c r="D208" s="5" t="s">
        <v>19</v>
      </c>
      <c r="E208" s="5" t="n">
        <v>6</v>
      </c>
      <c r="F208" s="6" t="n">
        <v>9531</v>
      </c>
      <c r="G208" s="5" t="s">
        <v>16</v>
      </c>
      <c r="H208" s="7" t="n">
        <f aca="false">IF(F208="","",ROUND(F208*(1-$B$2),-1))</f>
        <v>9340</v>
      </c>
      <c r="I208" s="7" t="n">
        <f aca="false">IF(H208="","",E208*H208)</f>
        <v>56040</v>
      </c>
    </row>
    <row r="209" customFormat="false" ht="15" hidden="false" customHeight="false" outlineLevel="0" collapsed="false">
      <c r="A209" s="5" t="n">
        <v>207</v>
      </c>
      <c r="B209" s="5" t="n">
        <v>217</v>
      </c>
      <c r="C209" s="5" t="s">
        <v>221</v>
      </c>
      <c r="D209" s="5" t="s">
        <v>19</v>
      </c>
      <c r="E209" s="5" t="n">
        <v>4</v>
      </c>
      <c r="F209" s="6" t="n">
        <v>11000</v>
      </c>
      <c r="G209" s="5" t="s">
        <v>13</v>
      </c>
      <c r="H209" s="7" t="n">
        <f aca="false">IF(F209="","",ROUND(F209*(1-$B$2),-1))</f>
        <v>10780</v>
      </c>
      <c r="I209" s="7" t="n">
        <f aca="false">IF(H209="","",E209*H209)</f>
        <v>43120</v>
      </c>
    </row>
    <row r="210" customFormat="false" ht="15" hidden="false" customHeight="false" outlineLevel="0" collapsed="false">
      <c r="A210" s="5" t="n">
        <v>208</v>
      </c>
      <c r="B210" s="5" t="n">
        <v>217</v>
      </c>
      <c r="C210" s="5" t="s">
        <v>222</v>
      </c>
      <c r="D210" s="5" t="s">
        <v>19</v>
      </c>
      <c r="E210" s="5" t="n">
        <v>3</v>
      </c>
      <c r="F210" s="6" t="n">
        <v>14000</v>
      </c>
      <c r="G210" s="5" t="s">
        <v>13</v>
      </c>
      <c r="H210" s="7" t="n">
        <f aca="false">IF(F210="","",ROUND(F210*(1-$B$2),-1))</f>
        <v>13720</v>
      </c>
      <c r="I210" s="7" t="n">
        <f aca="false">IF(H210="","",E210*H210)</f>
        <v>41160</v>
      </c>
    </row>
    <row r="211" customFormat="false" ht="15" hidden="false" customHeight="false" outlineLevel="0" collapsed="false">
      <c r="A211" s="5" t="n">
        <v>209</v>
      </c>
      <c r="B211" s="5" t="n">
        <v>217</v>
      </c>
      <c r="C211" s="5" t="s">
        <v>223</v>
      </c>
      <c r="D211" s="5" t="s">
        <v>19</v>
      </c>
      <c r="E211" s="5" t="n">
        <v>3</v>
      </c>
      <c r="F211" s="6" t="n">
        <v>18000</v>
      </c>
      <c r="G211" s="5" t="s">
        <v>13</v>
      </c>
      <c r="H211" s="7" t="n">
        <f aca="false">IF(F211="","",ROUND(F211*(1-$B$2),-1))</f>
        <v>17640</v>
      </c>
      <c r="I211" s="7" t="n">
        <f aca="false">IF(H211="","",E211*H211)</f>
        <v>52920</v>
      </c>
    </row>
    <row r="212" customFormat="false" ht="15" hidden="false" customHeight="false" outlineLevel="0" collapsed="false">
      <c r="A212" s="5" t="n">
        <v>210</v>
      </c>
      <c r="B212" s="5" t="n">
        <v>217</v>
      </c>
      <c r="C212" s="5" t="s">
        <v>224</v>
      </c>
      <c r="D212" s="5" t="s">
        <v>19</v>
      </c>
      <c r="E212" s="5" t="n">
        <v>2</v>
      </c>
      <c r="F212" s="6" t="n">
        <v>21200</v>
      </c>
      <c r="G212" s="5" t="s">
        <v>13</v>
      </c>
      <c r="H212" s="7" t="n">
        <f aca="false">IF(F212="","",ROUND(F212*(1-$B$2),-1))</f>
        <v>20780</v>
      </c>
      <c r="I212" s="7" t="n">
        <f aca="false">IF(H212="","",E212*H212)</f>
        <v>41560</v>
      </c>
    </row>
    <row r="213" customFormat="false" ht="15" hidden="false" customHeight="false" outlineLevel="0" collapsed="false">
      <c r="A213" s="5" t="n">
        <v>211</v>
      </c>
      <c r="B213" s="5" t="n">
        <v>217</v>
      </c>
      <c r="C213" s="5" t="s">
        <v>225</v>
      </c>
      <c r="D213" s="5" t="s">
        <v>19</v>
      </c>
      <c r="E213" s="5" t="n">
        <v>1</v>
      </c>
      <c r="F213" s="6" t="n">
        <v>24000</v>
      </c>
      <c r="G213" s="5" t="s">
        <v>13</v>
      </c>
      <c r="H213" s="7" t="n">
        <f aca="false">IF(F213="","",ROUND(F213*(1-$B$2),-1))</f>
        <v>23520</v>
      </c>
      <c r="I213" s="7" t="n">
        <f aca="false">IF(H213="","",E213*H213)</f>
        <v>23520</v>
      </c>
    </row>
    <row r="214" customFormat="false" ht="15" hidden="false" customHeight="false" outlineLevel="0" collapsed="false">
      <c r="A214" s="5" t="n">
        <v>212</v>
      </c>
      <c r="B214" s="5" t="n">
        <v>217</v>
      </c>
      <c r="C214" s="5" t="s">
        <v>226</v>
      </c>
      <c r="D214" s="5" t="s">
        <v>19</v>
      </c>
      <c r="E214" s="5" t="n">
        <v>1</v>
      </c>
      <c r="F214" s="6" t="n">
        <v>25000</v>
      </c>
      <c r="G214" s="5" t="s">
        <v>13</v>
      </c>
      <c r="H214" s="7" t="n">
        <f aca="false">IF(F214="","",ROUND(F214*(1-$B$2),-1))</f>
        <v>24500</v>
      </c>
      <c r="I214" s="7" t="n">
        <f aca="false">IF(H214="","",E214*H214)</f>
        <v>24500</v>
      </c>
    </row>
    <row r="215" customFormat="false" ht="15" hidden="false" customHeight="false" outlineLevel="0" collapsed="false">
      <c r="A215" s="5" t="n">
        <v>213</v>
      </c>
      <c r="B215" s="5" t="n">
        <v>217</v>
      </c>
      <c r="C215" s="5" t="s">
        <v>227</v>
      </c>
      <c r="D215" s="5" t="s">
        <v>19</v>
      </c>
      <c r="E215" s="5" t="n">
        <v>2</v>
      </c>
      <c r="F215" s="6"/>
      <c r="G215" s="5"/>
      <c r="H215" s="7" t="str">
        <f aca="false">IF(F215="","",ROUND(F215*(1-$B$2),-1))</f>
        <v/>
      </c>
      <c r="I215" s="7" t="str">
        <f aca="false">IF(H215="","",E215*H215)</f>
        <v/>
      </c>
    </row>
    <row r="216" customFormat="false" ht="15" hidden="false" customHeight="false" outlineLevel="0" collapsed="false">
      <c r="A216" s="5" t="n">
        <v>214</v>
      </c>
      <c r="B216" s="5" t="n">
        <v>217</v>
      </c>
      <c r="C216" s="5" t="s">
        <v>228</v>
      </c>
      <c r="D216" s="5" t="s">
        <v>19</v>
      </c>
      <c r="E216" s="5" t="n">
        <v>2</v>
      </c>
      <c r="F216" s="6"/>
      <c r="G216" s="5"/>
      <c r="H216" s="7" t="str">
        <f aca="false">IF(F216="","",ROUND(F216*(1-$B$2),-1))</f>
        <v/>
      </c>
      <c r="I216" s="7" t="str">
        <f aca="false">IF(H216="","",E216*H216)</f>
        <v/>
      </c>
    </row>
    <row r="217" customFormat="false" ht="15" hidden="false" customHeight="false" outlineLevel="0" collapsed="false">
      <c r="A217" s="5" t="n">
        <v>215</v>
      </c>
      <c r="B217" s="5" t="n">
        <v>217</v>
      </c>
      <c r="C217" s="5" t="s">
        <v>229</v>
      </c>
      <c r="D217" s="5" t="s">
        <v>19</v>
      </c>
      <c r="E217" s="5" t="n">
        <v>2</v>
      </c>
      <c r="F217" s="6"/>
      <c r="G217" s="5"/>
      <c r="H217" s="7" t="str">
        <f aca="false">IF(F217="","",ROUND(F217*(1-$B$2),-1))</f>
        <v/>
      </c>
      <c r="I217" s="7" t="str">
        <f aca="false">IF(H217="","",E217*H217)</f>
        <v/>
      </c>
    </row>
    <row r="218" customFormat="false" ht="15" hidden="false" customHeight="false" outlineLevel="0" collapsed="false">
      <c r="A218" s="5" t="n">
        <v>216</v>
      </c>
      <c r="B218" s="5" t="n">
        <v>217</v>
      </c>
      <c r="C218" s="5" t="s">
        <v>230</v>
      </c>
      <c r="D218" s="5" t="s">
        <v>19</v>
      </c>
      <c r="E218" s="5" t="n">
        <v>2</v>
      </c>
      <c r="F218" s="6"/>
      <c r="G218" s="5"/>
      <c r="H218" s="7" t="str">
        <f aca="false">IF(F218="","",ROUND(F218*(1-$B$2),-1))</f>
        <v/>
      </c>
      <c r="I218" s="7" t="str">
        <f aca="false">IF(H218="","",E218*H218)</f>
        <v/>
      </c>
    </row>
    <row r="219" customFormat="false" ht="15" hidden="false" customHeight="false" outlineLevel="0" collapsed="false">
      <c r="A219" s="5" t="n">
        <v>217</v>
      </c>
      <c r="B219" s="5" t="n">
        <v>217</v>
      </c>
      <c r="C219" s="5" t="s">
        <v>231</v>
      </c>
      <c r="D219" s="5" t="s">
        <v>19</v>
      </c>
      <c r="E219" s="5" t="n">
        <v>2</v>
      </c>
      <c r="F219" s="6"/>
      <c r="G219" s="5"/>
      <c r="H219" s="7" t="str">
        <f aca="false">IF(F219="","",ROUND(F219*(1-$B$2),-1))</f>
        <v/>
      </c>
      <c r="I219" s="7" t="str">
        <f aca="false">IF(H219="","",E219*H219)</f>
        <v/>
      </c>
    </row>
    <row r="220" customFormat="false" ht="15" hidden="false" customHeight="false" outlineLevel="0" collapsed="false">
      <c r="A220" s="5" t="n">
        <v>218</v>
      </c>
      <c r="B220" s="5" t="n">
        <v>217</v>
      </c>
      <c r="C220" s="5" t="s">
        <v>232</v>
      </c>
      <c r="D220" s="5" t="s">
        <v>19</v>
      </c>
      <c r="E220" s="5" t="n">
        <v>2</v>
      </c>
      <c r="F220" s="6"/>
      <c r="G220" s="5"/>
      <c r="H220" s="7" t="str">
        <f aca="false">IF(F220="","",ROUND(F220*(1-$B$2),-1))</f>
        <v/>
      </c>
      <c r="I220" s="7" t="str">
        <f aca="false">IF(H220="","",E220*H220)</f>
        <v/>
      </c>
    </row>
    <row r="221" customFormat="false" ht="15" hidden="false" customHeight="false" outlineLevel="0" collapsed="false">
      <c r="A221" s="5" t="n">
        <v>219</v>
      </c>
      <c r="B221" s="5" t="n">
        <v>217</v>
      </c>
      <c r="C221" s="5" t="s">
        <v>233</v>
      </c>
      <c r="D221" s="5" t="s">
        <v>19</v>
      </c>
      <c r="E221" s="5" t="n">
        <v>1</v>
      </c>
      <c r="F221" s="6" t="n">
        <v>2208</v>
      </c>
      <c r="G221" s="5" t="s">
        <v>16</v>
      </c>
      <c r="H221" s="7" t="n">
        <f aca="false">IF(F221="","",ROUND(F221*(1-$B$2),-1))</f>
        <v>2160</v>
      </c>
      <c r="I221" s="7" t="n">
        <f aca="false">IF(H221="","",E221*H221)</f>
        <v>2160</v>
      </c>
    </row>
    <row r="222" customFormat="false" ht="15" hidden="false" customHeight="false" outlineLevel="0" collapsed="false">
      <c r="A222" s="5" t="n">
        <v>220</v>
      </c>
      <c r="B222" s="5" t="n">
        <v>217</v>
      </c>
      <c r="C222" s="5" t="s">
        <v>234</v>
      </c>
      <c r="D222" s="5" t="s">
        <v>19</v>
      </c>
      <c r="E222" s="5" t="n">
        <v>1</v>
      </c>
      <c r="F222" s="6"/>
      <c r="G222" s="5"/>
      <c r="H222" s="7" t="str">
        <f aca="false">IF(F222="","",ROUND(F222*(1-$B$2),-1))</f>
        <v/>
      </c>
      <c r="I222" s="7" t="str">
        <f aca="false">IF(H222="","",E222*H222)</f>
        <v/>
      </c>
    </row>
    <row r="223" customFormat="false" ht="15" hidden="false" customHeight="false" outlineLevel="0" collapsed="false">
      <c r="A223" s="5" t="n">
        <v>221</v>
      </c>
      <c r="B223" s="5" t="n">
        <v>217</v>
      </c>
      <c r="C223" s="5" t="s">
        <v>235</v>
      </c>
      <c r="D223" s="5" t="s">
        <v>19</v>
      </c>
      <c r="E223" s="5" t="n">
        <v>1</v>
      </c>
      <c r="F223" s="6"/>
      <c r="G223" s="5"/>
      <c r="H223" s="7" t="str">
        <f aca="false">IF(F223="","",ROUND(F223*(1-$B$2),-1))</f>
        <v/>
      </c>
      <c r="I223" s="7" t="str">
        <f aca="false">IF(H223="","",E223*H223)</f>
        <v/>
      </c>
    </row>
    <row r="224" customFormat="false" ht="15" hidden="false" customHeight="false" outlineLevel="0" collapsed="false">
      <c r="A224" s="5" t="n">
        <v>222</v>
      </c>
      <c r="B224" s="5" t="n">
        <v>217</v>
      </c>
      <c r="C224" s="5" t="s">
        <v>236</v>
      </c>
      <c r="D224" s="5" t="s">
        <v>19</v>
      </c>
      <c r="E224" s="5" t="n">
        <v>1</v>
      </c>
      <c r="F224" s="6"/>
      <c r="G224" s="5"/>
      <c r="H224" s="7" t="str">
        <f aca="false">IF(F224="","",ROUND(F224*(1-$B$2),-1))</f>
        <v/>
      </c>
      <c r="I224" s="7" t="str">
        <f aca="false">IF(H224="","",E224*H224)</f>
        <v/>
      </c>
    </row>
    <row r="225" customFormat="false" ht="15" hidden="false" customHeight="false" outlineLevel="0" collapsed="false">
      <c r="A225" s="5" t="n">
        <v>223</v>
      </c>
      <c r="B225" s="5" t="n">
        <v>217</v>
      </c>
      <c r="C225" s="5" t="s">
        <v>237</v>
      </c>
      <c r="D225" s="5" t="s">
        <v>19</v>
      </c>
      <c r="E225" s="5" t="n">
        <v>2</v>
      </c>
      <c r="F225" s="6"/>
      <c r="G225" s="5"/>
      <c r="H225" s="7" t="str">
        <f aca="false">IF(F225="","",ROUND(F225*(1-$B$2),-1))</f>
        <v/>
      </c>
      <c r="I225" s="7" t="str">
        <f aca="false">IF(H225="","",E225*H225)</f>
        <v/>
      </c>
    </row>
    <row r="226" customFormat="false" ht="15" hidden="false" customHeight="false" outlineLevel="0" collapsed="false">
      <c r="A226" s="5" t="n">
        <v>224</v>
      </c>
      <c r="B226" s="5" t="n">
        <v>217</v>
      </c>
      <c r="C226" s="5" t="s">
        <v>238</v>
      </c>
      <c r="D226" s="5" t="s">
        <v>19</v>
      </c>
      <c r="E226" s="5" t="n">
        <v>2</v>
      </c>
      <c r="F226" s="6"/>
      <c r="G226" s="5"/>
      <c r="H226" s="7" t="str">
        <f aca="false">IF(F226="","",ROUND(F226*(1-$B$2),-1))</f>
        <v/>
      </c>
      <c r="I226" s="7" t="str">
        <f aca="false">IF(H226="","",E226*H226)</f>
        <v/>
      </c>
    </row>
    <row r="227" customFormat="false" ht="15" hidden="false" customHeight="false" outlineLevel="0" collapsed="false">
      <c r="A227" s="5" t="n">
        <v>225</v>
      </c>
      <c r="B227" s="5" t="n">
        <v>217</v>
      </c>
      <c r="C227" s="5" t="s">
        <v>239</v>
      </c>
      <c r="D227" s="5" t="s">
        <v>19</v>
      </c>
      <c r="E227" s="5" t="n">
        <v>24</v>
      </c>
      <c r="F227" s="6"/>
      <c r="G227" s="5"/>
      <c r="H227" s="7" t="str">
        <f aca="false">IF(F227="","",ROUND(F227*(1-$B$2),-1))</f>
        <v/>
      </c>
      <c r="I227" s="7" t="str">
        <f aca="false">IF(H227="","",E227*H227)</f>
        <v/>
      </c>
    </row>
    <row r="228" customFormat="false" ht="15" hidden="false" customHeight="false" outlineLevel="0" collapsed="false">
      <c r="A228" s="5" t="n">
        <v>226</v>
      </c>
      <c r="B228" s="5" t="n">
        <v>217</v>
      </c>
      <c r="C228" s="5" t="s">
        <v>240</v>
      </c>
      <c r="D228" s="5" t="s">
        <v>19</v>
      </c>
      <c r="E228" s="5" t="n">
        <v>24</v>
      </c>
      <c r="F228" s="6"/>
      <c r="G228" s="5"/>
      <c r="H228" s="7" t="str">
        <f aca="false">IF(F228="","",ROUND(F228*(1-$B$2),-1))</f>
        <v/>
      </c>
      <c r="I228" s="7" t="str">
        <f aca="false">IF(H228="","",E228*H228)</f>
        <v/>
      </c>
    </row>
    <row r="229" customFormat="false" ht="15" hidden="false" customHeight="false" outlineLevel="0" collapsed="false">
      <c r="A229" s="5" t="n">
        <v>227</v>
      </c>
      <c r="B229" s="5" t="n">
        <v>217</v>
      </c>
      <c r="C229" s="5" t="s">
        <v>241</v>
      </c>
      <c r="D229" s="5" t="s">
        <v>19</v>
      </c>
      <c r="E229" s="5" t="n">
        <v>24</v>
      </c>
      <c r="F229" s="6"/>
      <c r="G229" s="5"/>
      <c r="H229" s="7" t="str">
        <f aca="false">IF(F229="","",ROUND(F229*(1-$B$2),-1))</f>
        <v/>
      </c>
      <c r="I229" s="7" t="str">
        <f aca="false">IF(H229="","",E229*H229)</f>
        <v/>
      </c>
    </row>
    <row r="230" customFormat="false" ht="15" hidden="false" customHeight="false" outlineLevel="0" collapsed="false">
      <c r="A230" s="5" t="n">
        <v>228</v>
      </c>
      <c r="B230" s="5" t="n">
        <v>217</v>
      </c>
      <c r="C230" s="5" t="s">
        <v>242</v>
      </c>
      <c r="D230" s="5" t="s">
        <v>19</v>
      </c>
      <c r="E230" s="5" t="n">
        <v>24</v>
      </c>
      <c r="F230" s="6"/>
      <c r="G230" s="5"/>
      <c r="H230" s="7" t="str">
        <f aca="false">IF(F230="","",ROUND(F230*(1-$B$2),-1))</f>
        <v/>
      </c>
      <c r="I230" s="7" t="str">
        <f aca="false">IF(H230="","",E230*H230)</f>
        <v/>
      </c>
    </row>
    <row r="231" customFormat="false" ht="15" hidden="false" customHeight="false" outlineLevel="0" collapsed="false">
      <c r="A231" s="8" t="n">
        <v>229</v>
      </c>
      <c r="B231" s="8" t="n">
        <v>217</v>
      </c>
      <c r="C231" s="8" t="s">
        <v>243</v>
      </c>
      <c r="D231" s="8" t="s">
        <v>19</v>
      </c>
      <c r="E231" s="8" t="n">
        <v>24</v>
      </c>
      <c r="F231" s="9" t="n">
        <v>8197</v>
      </c>
      <c r="G231" s="8" t="s">
        <v>16</v>
      </c>
      <c r="H231" s="10" t="n">
        <f aca="false">IF(F231="","",ROUND(F231*(1-$B$2),-1))</f>
        <v>8030</v>
      </c>
      <c r="I231" s="10" t="n">
        <f aca="false">IF(H231="","",E231*H231)</f>
        <v>192720</v>
      </c>
    </row>
    <row r="232" customFormat="false" ht="15" hidden="false" customHeight="false" outlineLevel="0" collapsed="false">
      <c r="A232" s="8" t="n">
        <v>230</v>
      </c>
      <c r="B232" s="8" t="n">
        <v>217</v>
      </c>
      <c r="C232" s="8" t="s">
        <v>244</v>
      </c>
      <c r="D232" s="8" t="s">
        <v>19</v>
      </c>
      <c r="E232" s="8" t="n">
        <v>1</v>
      </c>
      <c r="F232" s="9" t="n">
        <v>250000</v>
      </c>
      <c r="G232" s="8" t="s">
        <v>13</v>
      </c>
      <c r="H232" s="10" t="n">
        <f aca="false">IF(F232="","",ROUND(F232*(1-$B$2),-1))</f>
        <v>245000</v>
      </c>
      <c r="I232" s="10" t="n">
        <f aca="false">IF(H232="","",E232*H232)</f>
        <v>245000</v>
      </c>
    </row>
    <row r="233" customFormat="false" ht="15" hidden="false" customHeight="false" outlineLevel="0" collapsed="false">
      <c r="A233" s="8" t="n">
        <v>231</v>
      </c>
      <c r="B233" s="8" t="n">
        <v>217</v>
      </c>
      <c r="C233" s="8" t="s">
        <v>245</v>
      </c>
      <c r="D233" s="8" t="s">
        <v>19</v>
      </c>
      <c r="E233" s="8" t="n">
        <v>1</v>
      </c>
      <c r="F233" s="9" t="n">
        <v>11638</v>
      </c>
      <c r="G233" s="8" t="s">
        <v>16</v>
      </c>
      <c r="H233" s="10" t="n">
        <f aca="false">IF(F233="","",ROUND(F233*(1-$B$2),-1))</f>
        <v>11410</v>
      </c>
      <c r="I233" s="10" t="n">
        <f aca="false">IF(H233="","",E233*H233)</f>
        <v>11410</v>
      </c>
    </row>
    <row r="234" customFormat="false" ht="15" hidden="false" customHeight="false" outlineLevel="0" collapsed="false">
      <c r="A234" s="5" t="n">
        <v>232</v>
      </c>
      <c r="B234" s="5" t="n">
        <v>217</v>
      </c>
      <c r="C234" s="5" t="s">
        <v>246</v>
      </c>
      <c r="D234" s="5" t="s">
        <v>19</v>
      </c>
      <c r="E234" s="5" t="n">
        <v>1</v>
      </c>
      <c r="F234" s="6"/>
      <c r="G234" s="5"/>
      <c r="H234" s="7" t="str">
        <f aca="false">IF(F234="","",ROUND(F234*(1-$B$2),-1))</f>
        <v/>
      </c>
      <c r="I234" s="7" t="str">
        <f aca="false">IF(H234="","",E234*H234)</f>
        <v/>
      </c>
    </row>
    <row r="235" customFormat="false" ht="15" hidden="false" customHeight="false" outlineLevel="0" collapsed="false">
      <c r="A235" s="5" t="n">
        <v>233</v>
      </c>
      <c r="B235" s="5" t="n">
        <v>217</v>
      </c>
      <c r="C235" s="5" t="s">
        <v>247</v>
      </c>
      <c r="D235" s="5" t="s">
        <v>19</v>
      </c>
      <c r="E235" s="5" t="n">
        <v>2</v>
      </c>
      <c r="F235" s="6" t="n">
        <v>118750</v>
      </c>
      <c r="G235" s="5" t="s">
        <v>16</v>
      </c>
      <c r="H235" s="7" t="n">
        <f aca="false">IF(F235="","",ROUND(F235*(1-$B$2),-1))</f>
        <v>116380</v>
      </c>
      <c r="I235" s="7" t="n">
        <f aca="false">IF(H235="","",E235*H235)</f>
        <v>232760</v>
      </c>
    </row>
    <row r="236" customFormat="false" ht="15" hidden="false" customHeight="false" outlineLevel="0" collapsed="false">
      <c r="A236" s="5" t="n">
        <v>234</v>
      </c>
      <c r="B236" s="5" t="n">
        <v>217</v>
      </c>
      <c r="C236" s="5" t="s">
        <v>248</v>
      </c>
      <c r="D236" s="5" t="s">
        <v>19</v>
      </c>
      <c r="E236" s="5" t="n">
        <v>3</v>
      </c>
      <c r="F236" s="6"/>
      <c r="G236" s="5"/>
      <c r="H236" s="7" t="str">
        <f aca="false">IF(F236="","",ROUND(F236*(1-$B$2),-1))</f>
        <v/>
      </c>
      <c r="I236" s="7" t="str">
        <f aca="false">IF(H236="","",E236*H236)</f>
        <v/>
      </c>
    </row>
    <row r="237" customFormat="false" ht="15" hidden="false" customHeight="false" outlineLevel="0" collapsed="false">
      <c r="A237" s="5" t="n">
        <v>235</v>
      </c>
      <c r="B237" s="5" t="n">
        <v>217</v>
      </c>
      <c r="C237" s="5" t="s">
        <v>249</v>
      </c>
      <c r="D237" s="5" t="s">
        <v>19</v>
      </c>
      <c r="E237" s="5" t="n">
        <v>3</v>
      </c>
      <c r="F237" s="6"/>
      <c r="G237" s="5"/>
      <c r="H237" s="7" t="str">
        <f aca="false">IF(F237="","",ROUND(F237*(1-$B$2),-1))</f>
        <v/>
      </c>
      <c r="I237" s="7" t="str">
        <f aca="false">IF(H237="","",E237*H237)</f>
        <v/>
      </c>
    </row>
    <row r="238" customFormat="false" ht="15" hidden="false" customHeight="false" outlineLevel="0" collapsed="false">
      <c r="A238" s="5" t="n">
        <v>236</v>
      </c>
      <c r="B238" s="5" t="n">
        <v>217</v>
      </c>
      <c r="C238" s="5" t="s">
        <v>250</v>
      </c>
      <c r="D238" s="5" t="s">
        <v>132</v>
      </c>
      <c r="E238" s="5" t="n">
        <v>200</v>
      </c>
      <c r="F238" s="6"/>
      <c r="G238" s="5"/>
      <c r="H238" s="7" t="str">
        <f aca="false">IF(F238="","",ROUND(F238*(1-$B$2),-1))</f>
        <v/>
      </c>
      <c r="I238" s="7" t="str">
        <f aca="false">IF(H238="","",E238*H238)</f>
        <v/>
      </c>
    </row>
    <row r="239" customFormat="false" ht="15" hidden="false" customHeight="false" outlineLevel="0" collapsed="false">
      <c r="A239" s="5" t="n">
        <v>237</v>
      </c>
      <c r="B239" s="5" t="n">
        <v>217</v>
      </c>
      <c r="C239" s="5" t="s">
        <v>251</v>
      </c>
      <c r="D239" s="5" t="s">
        <v>19</v>
      </c>
      <c r="E239" s="5" t="n">
        <v>24</v>
      </c>
      <c r="F239" s="6"/>
      <c r="G239" s="5"/>
      <c r="H239" s="7" t="str">
        <f aca="false">IF(F239="","",ROUND(F239*(1-$B$2),-1))</f>
        <v/>
      </c>
      <c r="I239" s="7" t="str">
        <f aca="false">IF(H239="","",E239*H239)</f>
        <v/>
      </c>
    </row>
    <row r="240" customFormat="false" ht="15" hidden="false" customHeight="false" outlineLevel="0" collapsed="false">
      <c r="A240" s="5" t="n">
        <v>238</v>
      </c>
      <c r="B240" s="5" t="n">
        <v>217</v>
      </c>
      <c r="C240" s="5" t="s">
        <v>252</v>
      </c>
      <c r="D240" s="5" t="s">
        <v>19</v>
      </c>
      <c r="E240" s="5" t="n">
        <v>6</v>
      </c>
      <c r="F240" s="6"/>
      <c r="G240" s="5"/>
      <c r="H240" s="7" t="str">
        <f aca="false">IF(F240="","",ROUND(F240*(1-$B$2),-1))</f>
        <v/>
      </c>
      <c r="I240" s="7" t="str">
        <f aca="false">IF(H240="","",E240*H240)</f>
        <v/>
      </c>
    </row>
    <row r="241" customFormat="false" ht="15" hidden="false" customHeight="false" outlineLevel="0" collapsed="false">
      <c r="A241" s="5" t="n">
        <v>239</v>
      </c>
      <c r="B241" s="5" t="n">
        <v>228</v>
      </c>
      <c r="C241" s="5" t="s">
        <v>253</v>
      </c>
      <c r="D241" s="5" t="s">
        <v>12</v>
      </c>
      <c r="E241" s="5" t="n">
        <v>50</v>
      </c>
      <c r="F241" s="6"/>
      <c r="G241" s="5"/>
      <c r="H241" s="7" t="str">
        <f aca="false">IF(F241="","",ROUND(F241*(1-$B$2),-1))</f>
        <v/>
      </c>
      <c r="I241" s="7" t="str">
        <f aca="false">IF(H241="","",E241*H241)</f>
        <v/>
      </c>
    </row>
    <row r="242" customFormat="false" ht="15" hidden="false" customHeight="false" outlineLevel="0" collapsed="false">
      <c r="A242" s="5" t="n">
        <v>240</v>
      </c>
      <c r="B242" s="5" t="n">
        <v>217</v>
      </c>
      <c r="C242" s="5" t="s">
        <v>254</v>
      </c>
      <c r="D242" s="5" t="s">
        <v>12</v>
      </c>
      <c r="E242" s="5" t="n">
        <v>50</v>
      </c>
      <c r="F242" s="6"/>
      <c r="G242" s="5"/>
      <c r="H242" s="7" t="str">
        <f aca="false">IF(F242="","",ROUND(F242*(1-$B$2),-1))</f>
        <v/>
      </c>
      <c r="I242" s="7" t="str">
        <f aca="false">IF(H242="","",E242*H242)</f>
        <v/>
      </c>
    </row>
    <row r="243" customFormat="false" ht="15" hidden="false" customHeight="false" outlineLevel="0" collapsed="false">
      <c r="H243" s="2" t="s">
        <v>255</v>
      </c>
      <c r="I243" s="11" t="n">
        <f aca="false">SUM(I5:I242)</f>
        <v>4733250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2026-10-26T10:31:44Z</dcterms:created>
  <dc:creator>openpyxl</dc:creator>
  <dc:description/>
  <dc:language>en-US</dc:language>
  <cp:lastModifiedBy/>
  <dcterms:modified xsi:type="dcterms:W3CDTF">2026-10-26T10:31:44Z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