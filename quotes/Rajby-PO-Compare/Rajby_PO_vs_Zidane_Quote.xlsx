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<sst xmlns="http://schemas.openxmlformats.org/spreadsheetml/2006/main" count="657" uniqueCount="340">
  <si>
    <t xml:space="preserve">Rajby PO rates vs Zidane quote (PR-217 &amp; PR-228)</t>
  </si>
  <si>
    <t xml:space="preserve">SR#</t>
  </si>
  <si>
    <t xml:space="preserve">Item</t>
  </si>
  <si>
    <t xml:space="preserve">Qty (our)</t>
  </si>
  <si>
    <t xml:space="preserve">Our Original Rate</t>
  </si>
  <si>
    <t xml:space="preserve">Our Revised Rate (Rev-1)</t>
  </si>
  <si>
    <t xml:space="preserve">Our Buying (High)</t>
  </si>
  <si>
    <t xml:space="preserve">Rajby PO Rate</t>
  </si>
  <si>
    <t xml:space="preserve">PO Qty</t>
  </si>
  <si>
    <t xml:space="preserve">Supplier</t>
  </si>
  <si>
    <t xml:space="preserve">PO#/Line</t>
  </si>
  <si>
    <t xml:space="preserve">PO vs Original</t>
  </si>
  <si>
    <t xml:space="preserve">PO vs Revised</t>
  </si>
  <si>
    <t xml:space="preserve">Status</t>
  </si>
  <si>
    <t xml:space="preserve">STONE CUTTING DISC 4"</t>
  </si>
  <si>
    <t xml:space="preserve">NOT IN PO (pending)</t>
  </si>
  <si>
    <t xml:space="preserve">STEEL NAIL 1-1/2" Taiwan</t>
  </si>
  <si>
    <t xml:space="preserve">MECHANICAL JACK 5 TON (Japan or Germany)</t>
  </si>
  <si>
    <t xml:space="preserve">HASSAM TRADERS</t>
  </si>
  <si>
    <t xml:space="preserve">216/1</t>
  </si>
  <si>
    <t xml:space="preserve">LOST</t>
  </si>
  <si>
    <t xml:space="preserve">DRILL BIT 08 MM (Yato or any Good brand taiwan)</t>
  </si>
  <si>
    <t xml:space="preserve">MECHANICAL JACK 03 TONS (Japan or germany)</t>
  </si>
  <si>
    <t xml:space="preserve">216/2</t>
  </si>
  <si>
    <t xml:space="preserve">SAFETY HELMET (WHITE)</t>
  </si>
  <si>
    <t xml:space="preserve">SAFETY GOOGLES</t>
  </si>
  <si>
    <t xml:space="preserve">7 DRAWER TOOL TROLLEY</t>
  </si>
  <si>
    <t xml:space="preserve">DOUBLE OPEN RING OFFSET WRENCH SET (12PCS)</t>
  </si>
  <si>
    <t xml:space="preserve">DOUBLE OPEN END WRENCH 6 TO 32 (12 PCS SET)</t>
  </si>
  <si>
    <t xml:space="preserve">DOUBLE OPEN END WRENCH 36X41</t>
  </si>
  <si>
    <t xml:space="preserve">DOUBLE OPEN END WRENCH 41X46</t>
  </si>
  <si>
    <t xml:space="preserve">COMBINATION WRENCH 8 TO 32 (14 PCS SET)</t>
  </si>
  <si>
    <t xml:space="preserve">MMK ENTERPRISES</t>
  </si>
  <si>
    <t xml:space="preserve">213/1</t>
  </si>
  <si>
    <t xml:space="preserve">SOCKET SET (113PCS) 1/4" &amp; 1/2"</t>
  </si>
  <si>
    <t xml:space="preserve">PIN PUNCH SET (06PCS SET)</t>
  </si>
  <si>
    <t xml:space="preserve">HOLLOW PUNCH (3MM-25MM) (15PCS SET)</t>
  </si>
  <si>
    <t xml:space="preserve">216/3</t>
  </si>
  <si>
    <t xml:space="preserve">LONG TYPE HEX KEY WRENCH SET 09 PCS</t>
  </si>
  <si>
    <t xml:space="preserve">SHORT TYPE HEX KEY WRENCH SET (09PCS)</t>
  </si>
  <si>
    <t xml:space="preserve">LONG TYPE HEX WRENCH SET 09 PCS</t>
  </si>
  <si>
    <t xml:space="preserve">ALLEN HEX KEY 12MM</t>
  </si>
  <si>
    <t xml:space="preserve">213/2</t>
  </si>
  <si>
    <t xml:space="preserve">ALLEN (HEX) KEY 14MM</t>
  </si>
  <si>
    <t xml:space="preserve">ALLEN (HEX) KEY 16MM</t>
  </si>
  <si>
    <t xml:space="preserve">CIRCLIP PLIER INTERNAL STRAIGHT 175MM</t>
  </si>
  <si>
    <t xml:space="preserve">213/3</t>
  </si>
  <si>
    <t xml:space="preserve">CIRCLIP PLIER INTERNAL BENT 175MM</t>
  </si>
  <si>
    <t xml:space="preserve">CIRCLIP PLIER EXTERNAL STRAIGHT 175MM</t>
  </si>
  <si>
    <t xml:space="preserve">213/4</t>
  </si>
  <si>
    <t xml:space="preserve">CIRCLIP PLIER EXTERNAL BENT 175MM</t>
  </si>
  <si>
    <t xml:space="preserve">CIRCLIP PLIER INTERNAL STRAIGHT 230MM</t>
  </si>
  <si>
    <t xml:space="preserve">CIRCLIP PLIER EXTERNAL STRAIGHT 230MM</t>
  </si>
  <si>
    <t xml:space="preserve">CHISEL SET (05 PCS SET)</t>
  </si>
  <si>
    <t xml:space="preserve">PIPE WRENCH SIZE 10"</t>
  </si>
  <si>
    <t xml:space="preserve">PIPE WRENCH SIZE 12"</t>
  </si>
  <si>
    <t xml:space="preserve">PIPE WRENCH SIZE 18"</t>
  </si>
  <si>
    <t xml:space="preserve">213/5</t>
  </si>
  <si>
    <t xml:space="preserve">PIPE WRENCH SIZE 24"</t>
  </si>
  <si>
    <t xml:space="preserve">PIPE WRENCH SIZE 36"</t>
  </si>
  <si>
    <t xml:space="preserve">213/6</t>
  </si>
  <si>
    <t xml:space="preserve">SLEDGE HAMMER 1 LBS WITH FIBREGLASS HANDLE</t>
  </si>
  <si>
    <t xml:space="preserve">SLEDGE HAMMER 3 LBS WITH FIBREGLASS HANDLE</t>
  </si>
  <si>
    <t xml:space="preserve">SOFT FACE DEAD BLOW HAMMER 50MM</t>
  </si>
  <si>
    <t xml:space="preserve">VICE GRIP PLIER 08"</t>
  </si>
  <si>
    <t xml:space="preserve">CORDLESS IMPACT WRENCH 185NM (Bosch)</t>
  </si>
  <si>
    <t xml:space="preserve">213/7</t>
  </si>
  <si>
    <t xml:space="preserve">CORDLESS IMPACT WRENCH 350N (Bosch)</t>
  </si>
  <si>
    <t xml:space="preserve">CORDLESS IMPACT WRENCH 1000N (Bosch)</t>
  </si>
  <si>
    <t xml:space="preserve">HEX IMPACT ADAPTOR 1/2" FEMALE TO 1/4" FEMALE</t>
  </si>
  <si>
    <t xml:space="preserve">FLAT FILE 12"</t>
  </si>
  <si>
    <t xml:space="preserve">ROUNDE FILE 12"</t>
  </si>
  <si>
    <t xml:space="preserve">UNIVERSAL PULLER 2-ARMED WITH HOOK BRAKE 21</t>
  </si>
  <si>
    <t xml:space="preserve">216/4</t>
  </si>
  <si>
    <t xml:space="preserve">UNIVERSAL PULLER 2-ARMED WITH HOOK BRAK 250</t>
  </si>
  <si>
    <t xml:space="preserve">216/5</t>
  </si>
  <si>
    <t xml:space="preserve">UNIVERSAL PULLER 2-ARMED 160 X 300 MM 5T</t>
  </si>
  <si>
    <t xml:space="preserve">Zidane Corporation</t>
  </si>
  <si>
    <t xml:space="preserve">212/1</t>
  </si>
  <si>
    <t xml:space="preserve">WON (Zidane)</t>
  </si>
  <si>
    <t xml:space="preserve">UNIVERSAL PULLER 2-ARMED 250 X 300 MM 7.5T</t>
  </si>
  <si>
    <t xml:space="preserve">216/6</t>
  </si>
  <si>
    <t xml:space="preserve">INTERNAL EXTRACTOR WITH REINFORCED COLLAR</t>
  </si>
  <si>
    <t xml:space="preserve">212/2</t>
  </si>
  <si>
    <t xml:space="preserve">MECHANICAL PULLER 3 ARMED 200X200</t>
  </si>
  <si>
    <t xml:space="preserve">MECHANICAL PULLER 3 ARMED 250X250</t>
  </si>
  <si>
    <t xml:space="preserve">DRILL MACHINE CORDLESS ROTARY HAMMER Bosch</t>
  </si>
  <si>
    <t xml:space="preserve">MANUAL GREASE GUN 5KG</t>
  </si>
  <si>
    <t xml:space="preserve">216/7</t>
  </si>
  <si>
    <t xml:space="preserve">AIR GREASE GUN 500CC</t>
  </si>
  <si>
    <t xml:space="preserve">HAND GREASE GUN WITH HOSE 500CC</t>
  </si>
  <si>
    <t xml:space="preserve">GREASE PIPE 1/4"X12"</t>
  </si>
  <si>
    <t xml:space="preserve">DOUBLE HANDLE GREASE NOZZLE</t>
  </si>
  <si>
    <t xml:space="preserve">STEEL MEASURMENT TAPE 100M</t>
  </si>
  <si>
    <t xml:space="preserve">212/3</t>
  </si>
  <si>
    <t xml:space="preserve">STEEL MEASURMENT TAPE 50M</t>
  </si>
  <si>
    <t xml:space="preserve">216/8</t>
  </si>
  <si>
    <t xml:space="preserve">ALIGNING PRY BAR DIA 5/8" X 18" LENGTH</t>
  </si>
  <si>
    <t xml:space="preserve">ADJUSTABLE WRENCH 15"</t>
  </si>
  <si>
    <t xml:space="preserve">212/4</t>
  </si>
  <si>
    <t xml:space="preserve">ROUGH FILE SMOOTH 10"</t>
  </si>
  <si>
    <t xml:space="preserve">POLISH FILE SMOOTH 10"</t>
  </si>
  <si>
    <t xml:space="preserve">REVOLVING CENTRE MT4</t>
  </si>
  <si>
    <t xml:space="preserve">216/9</t>
  </si>
  <si>
    <t xml:space="preserve">REVOLVING CENTRE MT3</t>
  </si>
  <si>
    <t xml:space="preserve">216/10</t>
  </si>
  <si>
    <t xml:space="preserve">CIRCUMFERENCE TAPE (60-950) (D20-300)</t>
  </si>
  <si>
    <t xml:space="preserve">CIRCUMFERENCE TAPE (940-2200) (D300-700)</t>
  </si>
  <si>
    <t xml:space="preserve">MEASURING TAPE 5M</t>
  </si>
  <si>
    <t xml:space="preserve">216/11</t>
  </si>
  <si>
    <t xml:space="preserve">HSS COBALT DRILL SET 1-13MM 25 PCS</t>
  </si>
  <si>
    <t xml:space="preserve">HSS DRILL BITS 1/16-1/2" 29 PCS SET</t>
  </si>
  <si>
    <t xml:space="preserve">HSS DRILL BIT 14MM TAPER SHANK</t>
  </si>
  <si>
    <t xml:space="preserve">216/12</t>
  </si>
  <si>
    <t xml:space="preserve">HSS DRILL BIT 15MM TAPER SHANK</t>
  </si>
  <si>
    <t xml:space="preserve">216/13</t>
  </si>
  <si>
    <t xml:space="preserve">HSS DRILL BIT 15.5MM TAPER SHANK</t>
  </si>
  <si>
    <t xml:space="preserve">216/14</t>
  </si>
  <si>
    <t xml:space="preserve">HSS DRILL BIT 16MM TAPER SHANK</t>
  </si>
  <si>
    <t xml:space="preserve">216/15</t>
  </si>
  <si>
    <t xml:space="preserve">HSS DRILL BIT 16.5MM TAPER SHANK</t>
  </si>
  <si>
    <t xml:space="preserve">216/16</t>
  </si>
  <si>
    <t xml:space="preserve">HSS DRILL BIT 17MM TAPER SHANK</t>
  </si>
  <si>
    <t xml:space="preserve">216/17</t>
  </si>
  <si>
    <t xml:space="preserve">HSS DRILL BIT 17.5MM TAPER SHANK</t>
  </si>
  <si>
    <t xml:space="preserve">216/18</t>
  </si>
  <si>
    <t xml:space="preserve">HSS DRILL BIT 19MM TAPER SHANK</t>
  </si>
  <si>
    <t xml:space="preserve">216/19</t>
  </si>
  <si>
    <t xml:space="preserve">HSS DRILL BIT 21MM TAPER SHANK</t>
  </si>
  <si>
    <t xml:space="preserve">216/20</t>
  </si>
  <si>
    <t xml:space="preserve">HSS DRILL BIT 25MM TAPER SHANK</t>
  </si>
  <si>
    <t xml:space="preserve">216/21</t>
  </si>
  <si>
    <t xml:space="preserve">HSS DRILL BIT 30MM TAPER SHANK</t>
  </si>
  <si>
    <t xml:space="preserve">216/22</t>
  </si>
  <si>
    <t xml:space="preserve">HSS DRILL BIT 32MM TAPER SHANK</t>
  </si>
  <si>
    <t xml:space="preserve">216/23</t>
  </si>
  <si>
    <t xml:space="preserve">HSS DRILL BIT 35MM TAPER SHANK</t>
  </si>
  <si>
    <t xml:space="preserve">216/24</t>
  </si>
  <si>
    <t xml:space="preserve">MORSE TAPER EXTENSION SOCKET SLEEVE ADAPT</t>
  </si>
  <si>
    <t xml:space="preserve">212/5</t>
  </si>
  <si>
    <t xml:space="preserve">DEAD CENTRE DIAMOND TIP M2</t>
  </si>
  <si>
    <t xml:space="preserve">DEAD CENTRE DIAMOND TIP M3</t>
  </si>
  <si>
    <t xml:space="preserve">DIGITAL VERINER CALIPER 300MM (Insize brand)</t>
  </si>
  <si>
    <t xml:space="preserve">216/25</t>
  </si>
  <si>
    <t xml:space="preserve">MANUAL VERNIER CALLIPER 12" (Insize brand)</t>
  </si>
  <si>
    <t xml:space="preserve">216/26</t>
  </si>
  <si>
    <t xml:space="preserve">MANUAL VERNIER CALLIPER 8" (Insize (Bosch))</t>
  </si>
  <si>
    <t xml:space="preserve">216/27</t>
  </si>
  <si>
    <t xml:space="preserve">VERNIER DEPTH GUAGE 250MM GRADUATION 0.02M</t>
  </si>
  <si>
    <t xml:space="preserve">212/17</t>
  </si>
  <si>
    <t xml:space="preserve">CORDLESS DRILL DRIVER 150NM Bosch</t>
  </si>
  <si>
    <t xml:space="preserve">TAP SET 1/2" BSPF LEFT HAND (Dormer)</t>
  </si>
  <si>
    <t xml:space="preserve">TAP SET 1/2" BSPF RIGHT HAND</t>
  </si>
  <si>
    <t xml:space="preserve">216/28</t>
  </si>
  <si>
    <t xml:space="preserve">TAP SET 3/8" BSPF</t>
  </si>
  <si>
    <t xml:space="preserve">216/29</t>
  </si>
  <si>
    <t xml:space="preserve">TAP SET 1/4" BSPF</t>
  </si>
  <si>
    <t xml:space="preserve">216/30</t>
  </si>
  <si>
    <t xml:space="preserve">TAP SET 1/8" BSPF</t>
  </si>
  <si>
    <t xml:space="preserve">216/31</t>
  </si>
  <si>
    <t xml:space="preserve">WIRE BRUSH HEAVY DUTY 4/5 NROW</t>
  </si>
  <si>
    <t xml:space="preserve">WELDING HELMET (FLIP FRONT)</t>
  </si>
  <si>
    <t xml:space="preserve">213/10</t>
  </si>
  <si>
    <t xml:space="preserve">WELDING LEATHER GLOVES 16"</t>
  </si>
  <si>
    <t xml:space="preserve">C-CLAMP 6"</t>
  </si>
  <si>
    <t xml:space="preserve">C-CLAMP 12"</t>
  </si>
  <si>
    <t xml:space="preserve">SPIRIT LEVEL 1 METER</t>
  </si>
  <si>
    <t xml:space="preserve">MAGNET SPIRIT LEVEL 12"</t>
  </si>
  <si>
    <t xml:space="preserve">CARBON STEEL RIGHT ANGLE 150MM</t>
  </si>
  <si>
    <t xml:space="preserve">216/32</t>
  </si>
  <si>
    <t xml:space="preserve">CARBON STEEL RIGHT ANGLE 300MM</t>
  </si>
  <si>
    <t xml:space="preserve">216/33</t>
  </si>
  <si>
    <t xml:space="preserve">GAS CUTTING TORCH MEDIUM 6-50MM</t>
  </si>
  <si>
    <t xml:space="preserve">212/6</t>
  </si>
  <si>
    <t xml:space="preserve">CUTTING TIPS/NOZZLES NO. 02 (6MM-12MM)</t>
  </si>
  <si>
    <t xml:space="preserve">CUTTING TIPS/NOZZLES NO. 03 (12MM-25)</t>
  </si>
  <si>
    <t xml:space="preserve">212/7</t>
  </si>
  <si>
    <t xml:space="preserve">OXYGEN REGULATOR 0-10 BAR</t>
  </si>
  <si>
    <t xml:space="preserve">216/34</t>
  </si>
  <si>
    <t xml:space="preserve">FUEL GAS REGULATOR 0-2.5 BAR</t>
  </si>
  <si>
    <t xml:space="preserve">OXYGEN HOSE 08MM ID</t>
  </si>
  <si>
    <t xml:space="preserve">ACETYLENE GAS HOSE 08 ID</t>
  </si>
  <si>
    <t xml:space="preserve">CYLINDER KEY/SPANNER</t>
  </si>
  <si>
    <t xml:space="preserve">TIP CLEANER FOR GAS WELDING TORCH</t>
  </si>
  <si>
    <t xml:space="preserve">WELDING/CUTTING GOGGLES</t>
  </si>
  <si>
    <t xml:space="preserve">AC/DC SINGLE PHASE WELDING PLANT 300 AMP</t>
  </si>
  <si>
    <t xml:space="preserve">216/35</t>
  </si>
  <si>
    <t xml:space="preserve">TIG WELDING TORCH AIR-COOLED 5METER</t>
  </si>
  <si>
    <t xml:space="preserve">216/36</t>
  </si>
  <si>
    <t xml:space="preserve">TORCH HEAD ARGON WELDING</t>
  </si>
  <si>
    <t xml:space="preserve">COLLECT OF ARGON 2.4MM</t>
  </si>
  <si>
    <t xml:space="preserve">COLLECT BODY FOR ARGON 2.4MM</t>
  </si>
  <si>
    <t xml:space="preserve">216/37</t>
  </si>
  <si>
    <t xml:space="preserve">CERAMIC CUP NO.5</t>
  </si>
  <si>
    <t xml:space="preserve">CERAMIC CUP NO.6</t>
  </si>
  <si>
    <t xml:space="preserve">CERAMIC CUP NO.7</t>
  </si>
  <si>
    <t xml:space="preserve">TUNGSTEN ELECTRODE 2.4MM</t>
  </si>
  <si>
    <t xml:space="preserve">216/38</t>
  </si>
  <si>
    <t xml:space="preserve">ARGON REGULATOR FLOW METER</t>
  </si>
  <si>
    <t xml:space="preserve">ARGON GAS HOSE 06MM</t>
  </si>
  <si>
    <t xml:space="preserve">GAS HOSE CONNECTOR</t>
  </si>
  <si>
    <t xml:space="preserve">SHORT SLEEVE TIG WELDING GLOVES 10-INCH</t>
  </si>
  <si>
    <t xml:space="preserve">CUTTING DISC 355MM (14")</t>
  </si>
  <si>
    <t xml:space="preserve">CUTTING DISC 125MM X 01MM</t>
  </si>
  <si>
    <t xml:space="preserve">CUTTING DISC 230MM X 03MM</t>
  </si>
  <si>
    <t xml:space="preserve">BUFFING DISC 125MM</t>
  </si>
  <si>
    <t xml:space="preserve">BRASS PLATED CUP WIRE BRUSH 125MM</t>
  </si>
  <si>
    <t xml:space="preserve">216/39</t>
  </si>
  <si>
    <t xml:space="preserve">GRINDER WHEEL ALUMINIUM OXIDE GRIT 24</t>
  </si>
  <si>
    <t xml:space="preserve">GRINDER WHEEL ALUMINIUM OXIDE GRIT 60</t>
  </si>
  <si>
    <t xml:space="preserve">216/41</t>
  </si>
  <si>
    <t xml:space="preserve">GRINDER WHEEL SILICON CARBIDE</t>
  </si>
  <si>
    <t xml:space="preserve">216/42</t>
  </si>
  <si>
    <t xml:space="preserve">COTTON ROPE 2MM</t>
  </si>
  <si>
    <t xml:space="preserve">HYDRAULIC HAND TROLLY 3T</t>
  </si>
  <si>
    <t xml:space="preserve">216/43</t>
  </si>
  <si>
    <t xml:space="preserve">HYDRAULIC HAND TROLLY 5T</t>
  </si>
  <si>
    <t xml:space="preserve">216/44</t>
  </si>
  <si>
    <t xml:space="preserve">FLATE METAL SCRAPPER 50MM</t>
  </si>
  <si>
    <t xml:space="preserve">WD 40 330ML (MULTI PURPOSE)</t>
  </si>
  <si>
    <t xml:space="preserve">212/8</t>
  </si>
  <si>
    <t xml:space="preserve">PU COATED SAFETY GLOVES LEVEL 5 CUT RESISTA</t>
  </si>
  <si>
    <t xml:space="preserve">216/45</t>
  </si>
  <si>
    <t xml:space="preserve">NITRILE SAFETY GLOOVES OIL RESISTANT</t>
  </si>
  <si>
    <t xml:space="preserve">216/46</t>
  </si>
  <si>
    <t xml:space="preserve">PVC SAFETY GLOVES LARGE CHEMICAL RESISTANT</t>
  </si>
  <si>
    <t xml:space="preserve">SAFETY HELMET YELLOW</t>
  </si>
  <si>
    <t xml:space="preserve">RED OXIDE POWDER</t>
  </si>
  <si>
    <t xml:space="preserve">SPRAY WHITE</t>
  </si>
  <si>
    <t xml:space="preserve">SPRAY BLUE</t>
  </si>
  <si>
    <t xml:space="preserve">SPRAY GREEN</t>
  </si>
  <si>
    <t xml:space="preserve">212/9</t>
  </si>
  <si>
    <t xml:space="preserve">TOILET CLEANING BRUSH</t>
  </si>
  <si>
    <t xml:space="preserve">CUT PIECES OF CLOTHS FOR CLEANING</t>
  </si>
  <si>
    <t xml:space="preserve">ANCHOR BOLT 10X110</t>
  </si>
  <si>
    <t xml:space="preserve">ANCHOR BOLT 12X120</t>
  </si>
  <si>
    <t xml:space="preserve">ANCHOR BOLT 12X160</t>
  </si>
  <si>
    <t xml:space="preserve">WELDING RODS 2.5MM E6013, NO 10 Zodian</t>
  </si>
  <si>
    <t xml:space="preserve">WELDING RODS 3.25MM E6013 NO 12</t>
  </si>
  <si>
    <t xml:space="preserve">WELDING RODS 2.5MM E7018 NO-10</t>
  </si>
  <si>
    <t xml:space="preserve">SS WELDING RODS 309L-16 2.6MM NO.12</t>
  </si>
  <si>
    <t xml:space="preserve">216/47</t>
  </si>
  <si>
    <t xml:space="preserve">SS WELDING RODS 316L-16 2.6MM NO.12</t>
  </si>
  <si>
    <t xml:space="preserve">BLIND RIVETS 04MMX25MM (1000PCS)</t>
  </si>
  <si>
    <t xml:space="preserve">216/56</t>
  </si>
  <si>
    <t xml:space="preserve">TAP SET 1" BSPF LEFT HAND</t>
  </si>
  <si>
    <t xml:space="preserve">TAP SET 1" BSPF RIGHT HAND</t>
  </si>
  <si>
    <t xml:space="preserve">212/10</t>
  </si>
  <si>
    <t xml:space="preserve">TAP SET 1-1/4" BSPF LEFT HAND</t>
  </si>
  <si>
    <t xml:space="preserve">TAP SET 1-1/4" BSPF RIGHT HAND</t>
  </si>
  <si>
    <t xml:space="preserve">216/57</t>
  </si>
  <si>
    <t xml:space="preserve">TAP SET M6</t>
  </si>
  <si>
    <t xml:space="preserve">TAP SET M8</t>
  </si>
  <si>
    <t xml:space="preserve">216/58</t>
  </si>
  <si>
    <t xml:space="preserve">TAP SET M10</t>
  </si>
  <si>
    <t xml:space="preserve">TAP SET M12</t>
  </si>
  <si>
    <t xml:space="preserve">216/59</t>
  </si>
  <si>
    <t xml:space="preserve">TAP SET M16</t>
  </si>
  <si>
    <t xml:space="preserve">216/60</t>
  </si>
  <si>
    <t xml:space="preserve">TAP SET M18</t>
  </si>
  <si>
    <t xml:space="preserve">216/61</t>
  </si>
  <si>
    <t xml:space="preserve">TAP SET M20</t>
  </si>
  <si>
    <t xml:space="preserve">216/62</t>
  </si>
  <si>
    <t xml:space="preserve">TAP HANDLE</t>
  </si>
  <si>
    <t xml:space="preserve">212/11</t>
  </si>
  <si>
    <t xml:space="preserve">INSIDE CALIPER 06"</t>
  </si>
  <si>
    <t xml:space="preserve">INSIDE CALIPER 20"</t>
  </si>
  <si>
    <t xml:space="preserve">OUTSIDE CALIPER 06"</t>
  </si>
  <si>
    <t xml:space="preserve">OUTSIDE CALIPER 20"</t>
  </si>
  <si>
    <t xml:space="preserve">RACHET TAP HANDLE</t>
  </si>
  <si>
    <t xml:space="preserve">MICROMETER 0 TO 25MM</t>
  </si>
  <si>
    <t xml:space="preserve">MICROMETER 25 TO 50MM</t>
  </si>
  <si>
    <t xml:space="preserve">MICROMETER 50 TO 75MM</t>
  </si>
  <si>
    <t xml:space="preserve">MICROMETER 75 TO 100MM</t>
  </si>
  <si>
    <t xml:space="preserve">MICROMETER 100 TO 125MM</t>
  </si>
  <si>
    <t xml:space="preserve">NEEDLE FILE (5PCS SET)</t>
  </si>
  <si>
    <t xml:space="preserve">END MILL CUTTER SIZE 5MM</t>
  </si>
  <si>
    <t xml:space="preserve">END MILL CUTTER SIZE 6MM</t>
  </si>
  <si>
    <t xml:space="preserve">212/12</t>
  </si>
  <si>
    <t xml:space="preserve">END MILL CUTTER SIZE 8MM</t>
  </si>
  <si>
    <t xml:space="preserve">212/13</t>
  </si>
  <si>
    <t xml:space="preserve">END MILL CUTTER SIZE 10MM</t>
  </si>
  <si>
    <t xml:space="preserve">END MILL CUTTER SIZE 12MM</t>
  </si>
  <si>
    <t xml:space="preserve">END MILL CUTTER SIZE 16MM</t>
  </si>
  <si>
    <t xml:space="preserve">END MILL CUTTER SIZE 18MM</t>
  </si>
  <si>
    <t xml:space="preserve">END MILL CUTTER SIZE 22MM</t>
  </si>
  <si>
    <t xml:space="preserve">END MILL CUTTER SIZE 25MM</t>
  </si>
  <si>
    <t xml:space="preserve">DIE NUT SIZE 5MM</t>
  </si>
  <si>
    <t xml:space="preserve">DIE NUT SIZE 6MM</t>
  </si>
  <si>
    <t xml:space="preserve">DIE NUT SIZE 8MM</t>
  </si>
  <si>
    <t xml:space="preserve">DIE NUT SIZE 10MM</t>
  </si>
  <si>
    <t xml:space="preserve">DIE NUT SIZE 12MM</t>
  </si>
  <si>
    <t xml:space="preserve">DIE NUT SIZE 16MM</t>
  </si>
  <si>
    <t xml:space="preserve">DIE NUT HANDLE SMALL</t>
  </si>
  <si>
    <t xml:space="preserve">212/14</t>
  </si>
  <si>
    <t xml:space="preserve">DIE NUT HANDLE MEDIUM</t>
  </si>
  <si>
    <t xml:space="preserve">DIE NUT HANDLE LARGE</t>
  </si>
  <si>
    <t xml:space="preserve">3 JAW CHUCK 4"</t>
  </si>
  <si>
    <t xml:space="preserve">BENCH VISE 08"</t>
  </si>
  <si>
    <t xml:space="preserve">BENCH VISE 12"</t>
  </si>
  <si>
    <t xml:space="preserve">HSS TOOL 08X08X200MM</t>
  </si>
  <si>
    <t xml:space="preserve">HSS TOOL 10MMX10MMX200MM</t>
  </si>
  <si>
    <t xml:space="preserve">HSS TOOL 12MMX12MMX200MM</t>
  </si>
  <si>
    <t xml:space="preserve">HSS TOOL 16MMX16MMX200MM</t>
  </si>
  <si>
    <t xml:space="preserve">HSS PARTING OFF TOOL 1/8" X 3/4" X 8"</t>
  </si>
  <si>
    <t xml:space="preserve">212/15</t>
  </si>
  <si>
    <t xml:space="preserve">HYDRAULIC JACK 3 TON</t>
  </si>
  <si>
    <t xml:space="preserve">HYDRAULIC JACK 5 TON</t>
  </si>
  <si>
    <t xml:space="preserve">212/16</t>
  </si>
  <si>
    <t xml:space="preserve">CORDLESS SMALL ANGLE GRINDER 125MM EQUIVAL</t>
  </si>
  <si>
    <t xml:space="preserve">213/11</t>
  </si>
  <si>
    <t xml:space="preserve">WELDING ELCTRODE HOLDER 1000 AMP</t>
  </si>
  <si>
    <t xml:space="preserve">EARTH CLAMP 1000 AMP</t>
  </si>
  <si>
    <t xml:space="preserve">WELDING CABLE 1000 AMPERE</t>
  </si>
  <si>
    <t xml:space="preserve">CABLE LUGS 1000 AMPERE</t>
  </si>
  <si>
    <t xml:space="preserve">FULL BODY HARNESS BELT</t>
  </si>
  <si>
    <t xml:space="preserve">ANGLE GRINDER 9" BOSCH PRO STONE BONDED CU</t>
  </si>
  <si>
    <t xml:space="preserve">DRILL BIT 4MM</t>
  </si>
  <si>
    <t xml:space="preserve">PO lines jo humari quote list mein nahi thay:</t>
  </si>
  <si>
    <t xml:space="preserve">HSS DRILL BIT SET 1 - 13MM X 0.5MM (25 PCS SET)</t>
  </si>
  <si>
    <t xml:space="preserve">213/8</t>
  </si>
  <si>
    <t xml:space="preserve">NOT QUOTED BY US</t>
  </si>
  <si>
    <t xml:space="preserve">HIGH CARBON STEEL CUP WIRE BRUSH 125MMXM14X0.35MM</t>
  </si>
  <si>
    <t xml:space="preserve">216/40</t>
  </si>
  <si>
    <t xml:space="preserve">ARGON WELDING FILLER ROD 2.4MM X 1 METER ER308L</t>
  </si>
  <si>
    <t xml:space="preserve">216/48</t>
  </si>
  <si>
    <t xml:space="preserve">ARGON WELDING FILLER ROD 2.4MMX 1 METER ER316L</t>
  </si>
  <si>
    <t xml:space="preserve">216/49</t>
  </si>
  <si>
    <t xml:space="preserve">ARGON WELDING FILLER ROD 2.4MM X 1 METER ER309L</t>
  </si>
  <si>
    <t xml:space="preserve">216/50</t>
  </si>
  <si>
    <t xml:space="preserve">ARGON WELDING FILLER ROD 2.4MM X 1 METER ER70S-6</t>
  </si>
  <si>
    <t xml:space="preserve">216/51</t>
  </si>
  <si>
    <t xml:space="preserve">ARGON WELDING FILLER ROD 1MM X 1 METER ER308L</t>
  </si>
  <si>
    <t xml:space="preserve">216/52</t>
  </si>
  <si>
    <t xml:space="preserve">ARGON WELDING FILLER ROD 1MMX 1 METER ER316L</t>
  </si>
  <si>
    <t xml:space="preserve">216/53</t>
  </si>
  <si>
    <t xml:space="preserve">ARGON WELDING FILLER ROD 1MM X 1 METER ER309L</t>
  </si>
  <si>
    <t xml:space="preserve">216/54</t>
  </si>
  <si>
    <t xml:space="preserve">ARGON WELDING FILLER ROD 1MM X 1 METER ER70S-6</t>
  </si>
  <si>
    <t xml:space="preserve">216/55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</si>
</sst>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;\-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71C1C"/>
        <bgColor rgb="FF993366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CCCCFF"/>
      </patternFill>
    </fill>
    <fill>
      <patternFill patternType="solid">
        <fgColor rgb="FFC8E6C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7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7" min="6" style="1" width="11"/>
    <col collapsed="false" customWidth="true" hidden="false" outlineLevel="0" max="8" min="8" style="1" width="7"/>
    <col collapsed="false" customWidth="true" hidden="false" outlineLevel="0" max="9" min="9" style="1" width="20"/>
    <col collapsed="false" customWidth="true" hidden="false" outlineLevel="0" max="12" min="10" style="1" width="9"/>
    <col collapsed="false" customWidth="true" hidden="false" outlineLevel="0" max="13" min="13" style="1" width="20"/>
  </cols>
  <sheetData>
    <row r="1" customFormat="false" ht="15.75" hidden="false" customHeight="true" outlineLevel="0" collapsed="false">
      <c r="A1" s="2" t="s">
        <v>0</v>
      </c>
    </row>
    <row r="3" customFormat="false" ht="51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customFormat="false" ht="15" hidden="false" customHeight="true" outlineLevel="0" collapsed="false">
      <c r="A4" s="4" t="n">
        <v>1</v>
      </c>
      <c r="B4" s="4" t="s">
        <v>14</v>
      </c>
      <c r="C4" s="4" t="n">
        <v>30</v>
      </c>
      <c r="D4" s="5" t="n">
        <v>325</v>
      </c>
      <c r="E4" s="5" t="n">
        <v>325</v>
      </c>
      <c r="F4" s="5" t="n">
        <v>280</v>
      </c>
      <c r="G4" s="5"/>
      <c r="H4" s="4"/>
      <c r="I4" s="4"/>
      <c r="J4" s="4"/>
      <c r="K4" s="6"/>
      <c r="L4" s="6"/>
      <c r="M4" s="4" t="s">
        <v>15</v>
      </c>
    </row>
    <row r="5" customFormat="false" ht="15" hidden="false" customHeight="true" outlineLevel="0" collapsed="false">
      <c r="A5" s="4" t="n">
        <v>2</v>
      </c>
      <c r="B5" s="4" t="s">
        <v>16</v>
      </c>
      <c r="C5" s="4" t="n">
        <v>2</v>
      </c>
      <c r="D5" s="5" t="n">
        <v>455</v>
      </c>
      <c r="E5" s="5" t="n">
        <v>455</v>
      </c>
      <c r="F5" s="5" t="n">
        <v>306</v>
      </c>
      <c r="G5" s="5"/>
      <c r="H5" s="4"/>
      <c r="I5" s="4"/>
      <c r="J5" s="4"/>
      <c r="K5" s="6"/>
      <c r="L5" s="6"/>
      <c r="M5" s="4" t="s">
        <v>15</v>
      </c>
    </row>
    <row r="6" customFormat="false" ht="15" hidden="false" customHeight="true" outlineLevel="0" collapsed="false">
      <c r="A6" s="7" t="n">
        <v>3</v>
      </c>
      <c r="B6" s="7" t="s">
        <v>17</v>
      </c>
      <c r="C6" s="7" t="n">
        <v>2</v>
      </c>
      <c r="D6" s="8" t="n">
        <v>58500</v>
      </c>
      <c r="E6" s="8" t="n">
        <v>68980</v>
      </c>
      <c r="F6" s="8" t="n">
        <v>59985</v>
      </c>
      <c r="G6" s="8" t="n">
        <v>75000</v>
      </c>
      <c r="H6" s="7" t="n">
        <v>2</v>
      </c>
      <c r="I6" s="7" t="s">
        <v>18</v>
      </c>
      <c r="J6" s="7" t="s">
        <v>19</v>
      </c>
      <c r="K6" s="9" t="n">
        <f aca="false">IF(D6=0,"",G6/D6-1)</f>
        <v>0.282051282051282</v>
      </c>
      <c r="L6" s="9" t="n">
        <f aca="false">IF(E6=0,"",G6/E6-1)</f>
        <v>0.0872716729486809</v>
      </c>
      <c r="M6" s="7" t="s">
        <v>20</v>
      </c>
    </row>
    <row r="7" customFormat="false" ht="15" hidden="false" customHeight="true" outlineLevel="0" collapsed="false">
      <c r="A7" s="4" t="n">
        <v>4</v>
      </c>
      <c r="B7" s="4" t="s">
        <v>21</v>
      </c>
      <c r="C7" s="4" t="n">
        <v>50</v>
      </c>
      <c r="D7" s="5" t="n">
        <v>715</v>
      </c>
      <c r="E7" s="5" t="n">
        <v>1670</v>
      </c>
      <c r="F7" s="5" t="n">
        <v>1449</v>
      </c>
      <c r="G7" s="5"/>
      <c r="H7" s="4"/>
      <c r="I7" s="4"/>
      <c r="J7" s="4"/>
      <c r="K7" s="6"/>
      <c r="L7" s="6"/>
      <c r="M7" s="4" t="s">
        <v>15</v>
      </c>
    </row>
    <row r="8" customFormat="false" ht="15" hidden="false" customHeight="true" outlineLevel="0" collapsed="false">
      <c r="A8" s="7" t="n">
        <v>5</v>
      </c>
      <c r="B8" s="7" t="s">
        <v>22</v>
      </c>
      <c r="C8" s="7" t="n">
        <v>2</v>
      </c>
      <c r="D8" s="8" t="n">
        <v>41600</v>
      </c>
      <c r="E8" s="8" t="n">
        <v>45540</v>
      </c>
      <c r="F8" s="8" t="n">
        <v>39600</v>
      </c>
      <c r="G8" s="8" t="n">
        <v>49500</v>
      </c>
      <c r="H8" s="7" t="n">
        <v>2</v>
      </c>
      <c r="I8" s="7" t="s">
        <v>18</v>
      </c>
      <c r="J8" s="7" t="s">
        <v>23</v>
      </c>
      <c r="K8" s="9" t="n">
        <f aca="false">IF(D8=0,"",G8/D8-1)</f>
        <v>0.189903846153846</v>
      </c>
      <c r="L8" s="9" t="n">
        <f aca="false">IF(E8=0,"",G8/E8-1)</f>
        <v>0.0869565217391304</v>
      </c>
      <c r="M8" s="7" t="s">
        <v>20</v>
      </c>
    </row>
    <row r="9" customFormat="false" ht="15" hidden="false" customHeight="true" outlineLevel="0" collapsed="false">
      <c r="A9" s="4" t="n">
        <v>6</v>
      </c>
      <c r="B9" s="4" t="s">
        <v>24</v>
      </c>
      <c r="C9" s="4" t="n">
        <v>6</v>
      </c>
      <c r="D9" s="5" t="n">
        <v>1105</v>
      </c>
      <c r="E9" s="5" t="n">
        <v>1105</v>
      </c>
      <c r="F9" s="5" t="n">
        <v>730</v>
      </c>
      <c r="G9" s="5"/>
      <c r="H9" s="4"/>
      <c r="I9" s="4"/>
      <c r="J9" s="4"/>
      <c r="K9" s="6"/>
      <c r="L9" s="6"/>
      <c r="M9" s="4" t="s">
        <v>15</v>
      </c>
    </row>
    <row r="10" customFormat="false" ht="15" hidden="false" customHeight="true" outlineLevel="0" collapsed="false">
      <c r="A10" s="4" t="n">
        <v>7</v>
      </c>
      <c r="B10" s="4" t="s">
        <v>25</v>
      </c>
      <c r="C10" s="4" t="n">
        <v>24</v>
      </c>
      <c r="D10" s="5" t="n">
        <v>507</v>
      </c>
      <c r="E10" s="5" t="n">
        <v>507</v>
      </c>
      <c r="F10" s="5" t="n">
        <v>350</v>
      </c>
      <c r="G10" s="5"/>
      <c r="H10" s="4"/>
      <c r="I10" s="4"/>
      <c r="J10" s="4"/>
      <c r="K10" s="6"/>
      <c r="L10" s="6"/>
      <c r="M10" s="4" t="s">
        <v>15</v>
      </c>
    </row>
    <row r="11" customFormat="false" ht="15" hidden="false" customHeight="true" outlineLevel="0" collapsed="false">
      <c r="A11" s="4" t="n">
        <v>8</v>
      </c>
      <c r="B11" s="4" t="s">
        <v>26</v>
      </c>
      <c r="C11" s="4" t="n">
        <v>3</v>
      </c>
      <c r="D11" s="5" t="n">
        <v>161070</v>
      </c>
      <c r="E11" s="5" t="n">
        <v>270000</v>
      </c>
      <c r="F11" s="5" t="n">
        <v>272440</v>
      </c>
      <c r="G11" s="5"/>
      <c r="H11" s="4"/>
      <c r="I11" s="4"/>
      <c r="J11" s="4"/>
      <c r="K11" s="6"/>
      <c r="L11" s="6"/>
      <c r="M11" s="4" t="s">
        <v>15</v>
      </c>
    </row>
    <row r="12" customFormat="false" ht="15" hidden="false" customHeight="true" outlineLevel="0" collapsed="false">
      <c r="A12" s="4" t="n">
        <v>9</v>
      </c>
      <c r="B12" s="4" t="s">
        <v>27</v>
      </c>
      <c r="C12" s="4" t="n">
        <v>4</v>
      </c>
      <c r="D12" s="5" t="n">
        <v>18200</v>
      </c>
      <c r="E12" s="5" t="n">
        <v>34040</v>
      </c>
      <c r="F12" s="5" t="n">
        <v>29600</v>
      </c>
      <c r="G12" s="5"/>
      <c r="H12" s="4"/>
      <c r="I12" s="4"/>
      <c r="J12" s="4"/>
      <c r="K12" s="6"/>
      <c r="L12" s="6"/>
      <c r="M12" s="4" t="s">
        <v>15</v>
      </c>
    </row>
    <row r="13" customFormat="false" ht="15" hidden="false" customHeight="true" outlineLevel="0" collapsed="false">
      <c r="A13" s="4" t="n">
        <v>10</v>
      </c>
      <c r="B13" s="4" t="s">
        <v>28</v>
      </c>
      <c r="C13" s="4" t="n">
        <v>4</v>
      </c>
      <c r="D13" s="5" t="n">
        <v>15600</v>
      </c>
      <c r="E13" s="5" t="n">
        <v>15600</v>
      </c>
      <c r="F13" s="5" t="n">
        <v>12630</v>
      </c>
      <c r="G13" s="5"/>
      <c r="H13" s="4"/>
      <c r="I13" s="4"/>
      <c r="J13" s="4"/>
      <c r="K13" s="6"/>
      <c r="L13" s="6"/>
      <c r="M13" s="4" t="s">
        <v>15</v>
      </c>
    </row>
    <row r="14" customFormat="false" ht="15" hidden="false" customHeight="true" outlineLevel="0" collapsed="false">
      <c r="A14" s="4" t="n">
        <v>11</v>
      </c>
      <c r="B14" s="4" t="s">
        <v>29</v>
      </c>
      <c r="C14" s="4" t="n">
        <v>3</v>
      </c>
      <c r="D14" s="5" t="n">
        <v>3640</v>
      </c>
      <c r="E14" s="5" t="n">
        <v>8540</v>
      </c>
      <c r="F14" s="5" t="n">
        <v>7430</v>
      </c>
      <c r="G14" s="5"/>
      <c r="H14" s="4"/>
      <c r="I14" s="4"/>
      <c r="J14" s="4"/>
      <c r="K14" s="6"/>
      <c r="L14" s="6"/>
      <c r="M14" s="4" t="s">
        <v>15</v>
      </c>
    </row>
    <row r="15" customFormat="false" ht="15" hidden="false" customHeight="true" outlineLevel="0" collapsed="false">
      <c r="A15" s="4" t="n">
        <v>12</v>
      </c>
      <c r="B15" s="4" t="s">
        <v>30</v>
      </c>
      <c r="C15" s="4" t="n">
        <v>3</v>
      </c>
      <c r="D15" s="5" t="n">
        <v>4550</v>
      </c>
      <c r="E15" s="5" t="n">
        <v>14160</v>
      </c>
      <c r="F15" s="5" t="n">
        <v>12310</v>
      </c>
      <c r="G15" s="5"/>
      <c r="H15" s="4"/>
      <c r="I15" s="4"/>
      <c r="J15" s="4"/>
      <c r="K15" s="6"/>
      <c r="L15" s="6"/>
      <c r="M15" s="4" t="s">
        <v>15</v>
      </c>
    </row>
    <row r="16" customFormat="false" ht="15" hidden="false" customHeight="true" outlineLevel="0" collapsed="false">
      <c r="A16" s="7" t="n">
        <v>13</v>
      </c>
      <c r="B16" s="7" t="s">
        <v>31</v>
      </c>
      <c r="C16" s="7" t="n">
        <v>4</v>
      </c>
      <c r="D16" s="8" t="n">
        <v>22100</v>
      </c>
      <c r="E16" s="8" t="n">
        <v>15900</v>
      </c>
      <c r="F16" s="8" t="n">
        <v>11780</v>
      </c>
      <c r="G16" s="8" t="n">
        <v>18525</v>
      </c>
      <c r="H16" s="7" t="n">
        <v>4</v>
      </c>
      <c r="I16" s="7" t="s">
        <v>32</v>
      </c>
      <c r="J16" s="7" t="s">
        <v>33</v>
      </c>
      <c r="K16" s="9" t="n">
        <f aca="false">IF(D16=0,"",G16/D16-1)</f>
        <v>-0.161764705882353</v>
      </c>
      <c r="L16" s="9" t="n">
        <f aca="false">IF(E16=0,"",G16/E16-1)</f>
        <v>0.165094339622641</v>
      </c>
      <c r="M16" s="7" t="s">
        <v>20</v>
      </c>
    </row>
    <row r="17" customFormat="false" ht="15" hidden="false" customHeight="true" outlineLevel="0" collapsed="false">
      <c r="A17" s="4" t="n">
        <v>14</v>
      </c>
      <c r="B17" s="4" t="s">
        <v>34</v>
      </c>
      <c r="C17" s="4" t="n">
        <v>4</v>
      </c>
      <c r="D17" s="5" t="n">
        <v>75400</v>
      </c>
      <c r="E17" s="5" t="n">
        <v>77200</v>
      </c>
      <c r="F17" s="5" t="n">
        <v>67130</v>
      </c>
      <c r="G17" s="5"/>
      <c r="H17" s="4"/>
      <c r="I17" s="4"/>
      <c r="J17" s="4"/>
      <c r="K17" s="6"/>
      <c r="L17" s="6"/>
      <c r="M17" s="4" t="s">
        <v>15</v>
      </c>
    </row>
    <row r="18" customFormat="false" ht="15" hidden="false" customHeight="true" outlineLevel="0" collapsed="false">
      <c r="A18" s="4" t="n">
        <v>15</v>
      </c>
      <c r="B18" s="4" t="s">
        <v>35</v>
      </c>
      <c r="C18" s="4" t="n">
        <v>4</v>
      </c>
      <c r="D18" s="5" t="n">
        <v>5850</v>
      </c>
      <c r="E18" s="5" t="n">
        <v>6280</v>
      </c>
      <c r="F18" s="5" t="n">
        <v>5460</v>
      </c>
      <c r="G18" s="5"/>
      <c r="H18" s="4"/>
      <c r="I18" s="4"/>
      <c r="J18" s="4"/>
      <c r="K18" s="6"/>
      <c r="L18" s="6"/>
      <c r="M18" s="4" t="s">
        <v>15</v>
      </c>
    </row>
    <row r="19" customFormat="false" ht="15" hidden="false" customHeight="true" outlineLevel="0" collapsed="false">
      <c r="A19" s="7" t="n">
        <v>16</v>
      </c>
      <c r="B19" s="7" t="s">
        <v>36</v>
      </c>
      <c r="C19" s="7" t="n">
        <v>4</v>
      </c>
      <c r="D19" s="8" t="n">
        <v>8450</v>
      </c>
      <c r="E19" s="8" t="n">
        <v>8450</v>
      </c>
      <c r="F19" s="8" t="n">
        <v>4699</v>
      </c>
      <c r="G19" s="8" t="n">
        <v>5500</v>
      </c>
      <c r="H19" s="7" t="n">
        <v>4</v>
      </c>
      <c r="I19" s="7" t="s">
        <v>18</v>
      </c>
      <c r="J19" s="7" t="s">
        <v>37</v>
      </c>
      <c r="K19" s="9" t="n">
        <f aca="false">IF(D19=0,"",G19/D19-1)</f>
        <v>-0.349112426035503</v>
      </c>
      <c r="L19" s="9" t="n">
        <f aca="false">IF(E19=0,"",G19/E19-1)</f>
        <v>-0.349112426035503</v>
      </c>
      <c r="M19" s="7" t="s">
        <v>20</v>
      </c>
    </row>
    <row r="20" customFormat="false" ht="15" hidden="false" customHeight="true" outlineLevel="0" collapsed="false">
      <c r="A20" s="4" t="n">
        <v>17</v>
      </c>
      <c r="B20" s="4" t="s">
        <v>38</v>
      </c>
      <c r="C20" s="4" t="n">
        <v>4</v>
      </c>
      <c r="D20" s="5" t="n">
        <v>2548</v>
      </c>
      <c r="E20" s="5" t="n">
        <v>5060</v>
      </c>
      <c r="F20" s="5" t="n">
        <v>4400</v>
      </c>
      <c r="G20" s="5"/>
      <c r="H20" s="4"/>
      <c r="I20" s="4"/>
      <c r="J20" s="4"/>
      <c r="K20" s="6"/>
      <c r="L20" s="6"/>
      <c r="M20" s="4" t="s">
        <v>15</v>
      </c>
    </row>
    <row r="21" customFormat="false" ht="15" hidden="false" customHeight="true" outlineLevel="0" collapsed="false">
      <c r="A21" s="4" t="n">
        <v>18</v>
      </c>
      <c r="B21" s="4" t="s">
        <v>39</v>
      </c>
      <c r="C21" s="4" t="n">
        <v>4</v>
      </c>
      <c r="D21" s="5" t="n">
        <v>1846</v>
      </c>
      <c r="E21" s="5" t="n">
        <v>4070</v>
      </c>
      <c r="F21" s="5" t="n">
        <v>3540</v>
      </c>
      <c r="G21" s="5"/>
      <c r="H21" s="4"/>
      <c r="I21" s="4"/>
      <c r="J21" s="4"/>
      <c r="K21" s="6"/>
      <c r="L21" s="6"/>
      <c r="M21" s="4" t="s">
        <v>15</v>
      </c>
    </row>
    <row r="22" customFormat="false" ht="15" hidden="false" customHeight="true" outlineLevel="0" collapsed="false">
      <c r="A22" s="4" t="n">
        <v>19</v>
      </c>
      <c r="B22" s="4" t="s">
        <v>40</v>
      </c>
      <c r="C22" s="4" t="n">
        <v>4</v>
      </c>
      <c r="D22" s="5" t="n">
        <v>2548</v>
      </c>
      <c r="E22" s="5" t="n">
        <v>5060</v>
      </c>
      <c r="F22" s="5" t="n">
        <v>4400</v>
      </c>
      <c r="G22" s="5"/>
      <c r="H22" s="4"/>
      <c r="I22" s="4"/>
      <c r="J22" s="4"/>
      <c r="K22" s="6"/>
      <c r="L22" s="6"/>
      <c r="M22" s="4" t="s">
        <v>15</v>
      </c>
    </row>
    <row r="23" customFormat="false" ht="15" hidden="false" customHeight="true" outlineLevel="0" collapsed="false">
      <c r="A23" s="7" t="n">
        <v>20</v>
      </c>
      <c r="B23" s="7" t="s">
        <v>41</v>
      </c>
      <c r="C23" s="7" t="n">
        <v>3</v>
      </c>
      <c r="D23" s="8" t="n">
        <v>910</v>
      </c>
      <c r="E23" s="8" t="n">
        <v>1290</v>
      </c>
      <c r="F23" s="8" t="n">
        <v>1125</v>
      </c>
      <c r="G23" s="8" t="n">
        <v>950</v>
      </c>
      <c r="H23" s="7" t="n">
        <v>3</v>
      </c>
      <c r="I23" s="7" t="s">
        <v>32</v>
      </c>
      <c r="J23" s="7" t="s">
        <v>42</v>
      </c>
      <c r="K23" s="9" t="n">
        <f aca="false">IF(D23=0,"",G23/D23-1)</f>
        <v>0.043956043956044</v>
      </c>
      <c r="L23" s="9" t="n">
        <f aca="false">IF(E23=0,"",G23/E23-1)</f>
        <v>-0.263565891472868</v>
      </c>
      <c r="M23" s="7" t="s">
        <v>20</v>
      </c>
    </row>
    <row r="24" customFormat="false" ht="15" hidden="false" customHeight="true" outlineLevel="0" collapsed="false">
      <c r="A24" s="4" t="n">
        <v>21</v>
      </c>
      <c r="B24" s="4" t="s">
        <v>43</v>
      </c>
      <c r="C24" s="4" t="n">
        <v>3</v>
      </c>
      <c r="D24" s="5" t="n">
        <v>1170</v>
      </c>
      <c r="E24" s="5" t="n">
        <v>2120</v>
      </c>
      <c r="F24" s="5" t="n">
        <v>1845</v>
      </c>
      <c r="G24" s="5"/>
      <c r="H24" s="4"/>
      <c r="I24" s="4"/>
      <c r="J24" s="4"/>
      <c r="K24" s="6"/>
      <c r="L24" s="6"/>
      <c r="M24" s="4" t="s">
        <v>15</v>
      </c>
    </row>
    <row r="25" customFormat="false" ht="15" hidden="false" customHeight="true" outlineLevel="0" collapsed="false">
      <c r="A25" s="4" t="n">
        <v>22</v>
      </c>
      <c r="B25" s="4" t="s">
        <v>44</v>
      </c>
      <c r="C25" s="4" t="n">
        <v>3</v>
      </c>
      <c r="D25" s="5" t="n">
        <v>1430</v>
      </c>
      <c r="E25" s="5" t="n">
        <v>2120</v>
      </c>
      <c r="F25" s="5" t="n">
        <v>1845</v>
      </c>
      <c r="G25" s="5"/>
      <c r="H25" s="4"/>
      <c r="I25" s="4"/>
      <c r="J25" s="4"/>
      <c r="K25" s="6"/>
      <c r="L25" s="6"/>
      <c r="M25" s="4" t="s">
        <v>15</v>
      </c>
    </row>
    <row r="26" customFormat="false" ht="15" hidden="false" customHeight="true" outlineLevel="0" collapsed="false">
      <c r="A26" s="7" t="n">
        <v>23</v>
      </c>
      <c r="B26" s="7" t="s">
        <v>45</v>
      </c>
      <c r="C26" s="7" t="n">
        <v>4</v>
      </c>
      <c r="D26" s="8" t="n">
        <v>4940</v>
      </c>
      <c r="E26" s="8" t="n">
        <v>4940</v>
      </c>
      <c r="F26" s="8" t="n">
        <v>3438</v>
      </c>
      <c r="G26" s="8" t="n">
        <v>2850</v>
      </c>
      <c r="H26" s="7" t="n">
        <v>4</v>
      </c>
      <c r="I26" s="7" t="s">
        <v>32</v>
      </c>
      <c r="J26" s="7" t="s">
        <v>46</v>
      </c>
      <c r="K26" s="9" t="n">
        <f aca="false">IF(D26=0,"",G26/D26-1)</f>
        <v>-0.423076923076923</v>
      </c>
      <c r="L26" s="9" t="n">
        <f aca="false">IF(E26=0,"",G26/E26-1)</f>
        <v>-0.423076923076923</v>
      </c>
      <c r="M26" s="7" t="s">
        <v>20</v>
      </c>
    </row>
    <row r="27" customFormat="false" ht="15" hidden="false" customHeight="true" outlineLevel="0" collapsed="false">
      <c r="A27" s="4" t="n">
        <v>24</v>
      </c>
      <c r="B27" s="4" t="s">
        <v>47</v>
      </c>
      <c r="C27" s="4" t="n">
        <v>4</v>
      </c>
      <c r="D27" s="5" t="n">
        <v>4940</v>
      </c>
      <c r="E27" s="5" t="n">
        <v>4940</v>
      </c>
      <c r="F27" s="5" t="n">
        <v>3438</v>
      </c>
      <c r="G27" s="5"/>
      <c r="H27" s="4"/>
      <c r="I27" s="4"/>
      <c r="J27" s="4"/>
      <c r="K27" s="6"/>
      <c r="L27" s="6"/>
      <c r="M27" s="4" t="s">
        <v>15</v>
      </c>
    </row>
    <row r="28" customFormat="false" ht="15" hidden="false" customHeight="true" outlineLevel="0" collapsed="false">
      <c r="A28" s="7" t="n">
        <v>25</v>
      </c>
      <c r="B28" s="7" t="s">
        <v>48</v>
      </c>
      <c r="C28" s="7" t="n">
        <v>4</v>
      </c>
      <c r="D28" s="8" t="n">
        <v>4940</v>
      </c>
      <c r="E28" s="8" t="n">
        <v>4940</v>
      </c>
      <c r="F28" s="8" t="n">
        <v>3438</v>
      </c>
      <c r="G28" s="8" t="n">
        <v>2850</v>
      </c>
      <c r="H28" s="7" t="n">
        <v>4</v>
      </c>
      <c r="I28" s="7" t="s">
        <v>32</v>
      </c>
      <c r="J28" s="7" t="s">
        <v>49</v>
      </c>
      <c r="K28" s="9" t="n">
        <f aca="false">IF(D28=0,"",G28/D28-1)</f>
        <v>-0.423076923076923</v>
      </c>
      <c r="L28" s="9" t="n">
        <f aca="false">IF(E28=0,"",G28/E28-1)</f>
        <v>-0.423076923076923</v>
      </c>
      <c r="M28" s="7" t="s">
        <v>20</v>
      </c>
    </row>
    <row r="29" customFormat="false" ht="15" hidden="false" customHeight="true" outlineLevel="0" collapsed="false">
      <c r="A29" s="4" t="n">
        <v>26</v>
      </c>
      <c r="B29" s="4" t="s">
        <v>50</v>
      </c>
      <c r="C29" s="4" t="n">
        <v>4</v>
      </c>
      <c r="D29" s="5" t="n">
        <v>4940</v>
      </c>
      <c r="E29" s="5" t="n">
        <v>4940</v>
      </c>
      <c r="F29" s="5" t="n">
        <v>3438</v>
      </c>
      <c r="G29" s="5"/>
      <c r="H29" s="4"/>
      <c r="I29" s="4"/>
      <c r="J29" s="4"/>
      <c r="K29" s="6"/>
      <c r="L29" s="6"/>
      <c r="M29" s="4" t="s">
        <v>15</v>
      </c>
    </row>
    <row r="30" customFormat="false" ht="15" hidden="false" customHeight="true" outlineLevel="0" collapsed="false">
      <c r="A30" s="4" t="n">
        <v>27</v>
      </c>
      <c r="B30" s="4" t="s">
        <v>51</v>
      </c>
      <c r="C30" s="4" t="n">
        <v>4</v>
      </c>
      <c r="D30" s="5" t="n">
        <v>6760</v>
      </c>
      <c r="E30" s="5" t="n">
        <v>7320</v>
      </c>
      <c r="F30" s="5" t="n">
        <v>6368</v>
      </c>
      <c r="G30" s="5"/>
      <c r="H30" s="4"/>
      <c r="I30" s="4"/>
      <c r="J30" s="4"/>
      <c r="K30" s="6"/>
      <c r="L30" s="6"/>
      <c r="M30" s="4" t="s">
        <v>15</v>
      </c>
    </row>
    <row r="31" customFormat="false" ht="15" hidden="false" customHeight="true" outlineLevel="0" collapsed="false">
      <c r="A31" s="4" t="n">
        <v>28</v>
      </c>
      <c r="B31" s="4" t="s">
        <v>52</v>
      </c>
      <c r="C31" s="4" t="n">
        <v>3</v>
      </c>
      <c r="D31" s="5" t="n">
        <v>6760</v>
      </c>
      <c r="E31" s="5" t="n">
        <v>6760</v>
      </c>
      <c r="F31" s="5" t="n">
        <v>4996</v>
      </c>
      <c r="G31" s="5"/>
      <c r="H31" s="4"/>
      <c r="I31" s="4"/>
      <c r="J31" s="4"/>
      <c r="K31" s="6"/>
      <c r="L31" s="6"/>
      <c r="M31" s="4" t="s">
        <v>15</v>
      </c>
    </row>
    <row r="32" customFormat="false" ht="15" hidden="false" customHeight="true" outlineLevel="0" collapsed="false">
      <c r="A32" s="4" t="n">
        <v>30</v>
      </c>
      <c r="B32" s="4" t="s">
        <v>53</v>
      </c>
      <c r="C32" s="4" t="n">
        <v>4</v>
      </c>
      <c r="D32" s="5" t="n">
        <v>6136</v>
      </c>
      <c r="E32" s="5" t="n">
        <v>6136</v>
      </c>
      <c r="F32" s="5" t="n">
        <v>4720</v>
      </c>
      <c r="G32" s="5"/>
      <c r="H32" s="4"/>
      <c r="I32" s="4"/>
      <c r="J32" s="4"/>
      <c r="K32" s="6"/>
      <c r="L32" s="6"/>
      <c r="M32" s="4" t="s">
        <v>15</v>
      </c>
    </row>
    <row r="33" customFormat="false" ht="15" hidden="false" customHeight="true" outlineLevel="0" collapsed="false">
      <c r="A33" s="4" t="n">
        <v>31</v>
      </c>
      <c r="B33" s="4" t="s">
        <v>54</v>
      </c>
      <c r="C33" s="4" t="n">
        <v>3</v>
      </c>
      <c r="D33" s="5" t="n">
        <v>2210</v>
      </c>
      <c r="E33" s="5" t="n">
        <v>2210</v>
      </c>
      <c r="F33" s="5" t="n">
        <v>1700</v>
      </c>
      <c r="G33" s="5"/>
      <c r="H33" s="4"/>
      <c r="I33" s="4"/>
      <c r="J33" s="4"/>
      <c r="K33" s="6"/>
      <c r="L33" s="6"/>
      <c r="M33" s="4" t="s">
        <v>15</v>
      </c>
    </row>
    <row r="34" customFormat="false" ht="15" hidden="false" customHeight="true" outlineLevel="0" collapsed="false">
      <c r="A34" s="4" t="n">
        <v>32</v>
      </c>
      <c r="B34" s="4" t="s">
        <v>55</v>
      </c>
      <c r="C34" s="4" t="n">
        <v>3</v>
      </c>
      <c r="D34" s="5" t="n">
        <v>2886</v>
      </c>
      <c r="E34" s="5" t="n">
        <v>3280</v>
      </c>
      <c r="F34" s="5" t="n">
        <v>2850</v>
      </c>
      <c r="G34" s="5"/>
      <c r="H34" s="4"/>
      <c r="I34" s="4"/>
      <c r="J34" s="4"/>
      <c r="K34" s="6"/>
      <c r="L34" s="6"/>
      <c r="M34" s="4" t="s">
        <v>15</v>
      </c>
    </row>
    <row r="35" customFormat="false" ht="15" hidden="false" customHeight="true" outlineLevel="0" collapsed="false">
      <c r="A35" s="7" t="n">
        <v>33</v>
      </c>
      <c r="B35" s="7" t="s">
        <v>56</v>
      </c>
      <c r="C35" s="7" t="n">
        <v>3</v>
      </c>
      <c r="D35" s="8" t="n">
        <v>5902</v>
      </c>
      <c r="E35" s="8" t="n">
        <v>11060</v>
      </c>
      <c r="F35" s="8" t="n">
        <v>9620</v>
      </c>
      <c r="G35" s="8" t="n">
        <v>10925</v>
      </c>
      <c r="H35" s="7" t="n">
        <v>3</v>
      </c>
      <c r="I35" s="7" t="s">
        <v>32</v>
      </c>
      <c r="J35" s="7" t="s">
        <v>57</v>
      </c>
      <c r="K35" s="9" t="n">
        <f aca="false">IF(D35=0,"",G35/D35-1)</f>
        <v>0.851067434767875</v>
      </c>
      <c r="L35" s="9" t="n">
        <f aca="false">IF(E35=0,"",G35/E35-1)</f>
        <v>-0.0122061482820977</v>
      </c>
      <c r="M35" s="7" t="s">
        <v>20</v>
      </c>
    </row>
    <row r="36" customFormat="false" ht="15" hidden="false" customHeight="true" outlineLevel="0" collapsed="false">
      <c r="A36" s="4" t="n">
        <v>34</v>
      </c>
      <c r="B36" s="4" t="s">
        <v>58</v>
      </c>
      <c r="C36" s="4" t="n">
        <v>2</v>
      </c>
      <c r="D36" s="5" t="n">
        <v>6120</v>
      </c>
      <c r="E36" s="5" t="n">
        <v>7540</v>
      </c>
      <c r="F36" s="5" t="n">
        <v>6560</v>
      </c>
      <c r="G36" s="5"/>
      <c r="H36" s="4"/>
      <c r="I36" s="4"/>
      <c r="J36" s="4"/>
      <c r="K36" s="6"/>
      <c r="L36" s="6"/>
      <c r="M36" s="4" t="s">
        <v>15</v>
      </c>
    </row>
    <row r="37" customFormat="false" ht="15" hidden="false" customHeight="true" outlineLevel="0" collapsed="false">
      <c r="A37" s="7" t="n">
        <v>35</v>
      </c>
      <c r="B37" s="7" t="s">
        <v>59</v>
      </c>
      <c r="C37" s="7" t="n">
        <v>2</v>
      </c>
      <c r="D37" s="8" t="n">
        <v>12870</v>
      </c>
      <c r="E37" s="8" t="n">
        <v>12870</v>
      </c>
      <c r="F37" s="8" t="n">
        <v>7900</v>
      </c>
      <c r="G37" s="8" t="n">
        <v>34200</v>
      </c>
      <c r="H37" s="7" t="n">
        <v>2</v>
      </c>
      <c r="I37" s="7" t="s">
        <v>32</v>
      </c>
      <c r="J37" s="7" t="s">
        <v>60</v>
      </c>
      <c r="K37" s="9" t="n">
        <f aca="false">IF(D37=0,"",G37/D37-1)</f>
        <v>1.65734265734266</v>
      </c>
      <c r="L37" s="9" t="n">
        <f aca="false">IF(E37=0,"",G37/E37-1)</f>
        <v>1.65734265734266</v>
      </c>
      <c r="M37" s="7" t="s">
        <v>20</v>
      </c>
    </row>
    <row r="38" customFormat="false" ht="15" hidden="false" customHeight="true" outlineLevel="0" collapsed="false">
      <c r="A38" s="4" t="n">
        <v>36</v>
      </c>
      <c r="B38" s="4" t="s">
        <v>61</v>
      </c>
      <c r="C38" s="4" t="n">
        <v>3</v>
      </c>
      <c r="D38" s="5" t="n">
        <v>1950</v>
      </c>
      <c r="E38" s="5" t="n">
        <v>2300</v>
      </c>
      <c r="F38" s="5" t="n">
        <v>2000</v>
      </c>
      <c r="G38" s="5"/>
      <c r="H38" s="4"/>
      <c r="I38" s="4"/>
      <c r="J38" s="4"/>
      <c r="K38" s="6"/>
      <c r="L38" s="6"/>
      <c r="M38" s="4" t="s">
        <v>15</v>
      </c>
    </row>
    <row r="39" customFormat="false" ht="15" hidden="false" customHeight="true" outlineLevel="0" collapsed="false">
      <c r="A39" s="4" t="n">
        <v>37</v>
      </c>
      <c r="B39" s="4" t="s">
        <v>62</v>
      </c>
      <c r="C39" s="4" t="n">
        <v>3</v>
      </c>
      <c r="D39" s="5" t="n">
        <v>4550</v>
      </c>
      <c r="E39" s="5" t="n">
        <v>4550</v>
      </c>
      <c r="F39" s="5" t="n">
        <v>3380</v>
      </c>
      <c r="G39" s="5"/>
      <c r="H39" s="4"/>
      <c r="I39" s="4"/>
      <c r="J39" s="4"/>
      <c r="K39" s="6"/>
      <c r="L39" s="6"/>
      <c r="M39" s="4" t="s">
        <v>15</v>
      </c>
    </row>
    <row r="40" customFormat="false" ht="15" hidden="false" customHeight="true" outlineLevel="0" collapsed="false">
      <c r="A40" s="4" t="n">
        <v>38</v>
      </c>
      <c r="B40" s="4" t="s">
        <v>63</v>
      </c>
      <c r="C40" s="4" t="n">
        <v>3</v>
      </c>
      <c r="D40" s="5" t="n">
        <v>6240</v>
      </c>
      <c r="E40" s="5" t="n">
        <v>3310</v>
      </c>
      <c r="F40" s="5" t="n">
        <v>2450</v>
      </c>
      <c r="G40" s="5"/>
      <c r="H40" s="4"/>
      <c r="I40" s="4"/>
      <c r="J40" s="4"/>
      <c r="K40" s="6"/>
      <c r="L40" s="6"/>
      <c r="M40" s="4" t="s">
        <v>15</v>
      </c>
    </row>
    <row r="41" customFormat="false" ht="15" hidden="false" customHeight="true" outlineLevel="0" collapsed="false">
      <c r="A41" s="4" t="n">
        <v>39</v>
      </c>
      <c r="B41" s="4" t="s">
        <v>64</v>
      </c>
      <c r="C41" s="4" t="n">
        <v>3</v>
      </c>
      <c r="D41" s="5" t="n">
        <v>1950</v>
      </c>
      <c r="E41" s="5" t="n">
        <v>4600</v>
      </c>
      <c r="F41" s="5" t="n">
        <v>4000</v>
      </c>
      <c r="G41" s="5"/>
      <c r="H41" s="4"/>
      <c r="I41" s="4"/>
      <c r="J41" s="4"/>
      <c r="K41" s="6"/>
      <c r="L41" s="6"/>
      <c r="M41" s="4" t="s">
        <v>15</v>
      </c>
    </row>
    <row r="42" customFormat="false" ht="15" hidden="false" customHeight="true" outlineLevel="0" collapsed="false">
      <c r="A42" s="7" t="n">
        <v>40</v>
      </c>
      <c r="B42" s="7" t="s">
        <v>65</v>
      </c>
      <c r="C42" s="7" t="n">
        <v>3</v>
      </c>
      <c r="D42" s="8" t="n">
        <v>79300</v>
      </c>
      <c r="E42" s="8" t="n">
        <v>90850</v>
      </c>
      <c r="F42" s="8" t="n">
        <v>79000</v>
      </c>
      <c r="G42" s="8" t="n">
        <v>77900</v>
      </c>
      <c r="H42" s="7" t="n">
        <v>3</v>
      </c>
      <c r="I42" s="7" t="s">
        <v>32</v>
      </c>
      <c r="J42" s="7" t="s">
        <v>66</v>
      </c>
      <c r="K42" s="9" t="n">
        <f aca="false">IF(D42=0,"",G42/D42-1)</f>
        <v>-0.0176544766708702</v>
      </c>
      <c r="L42" s="9" t="n">
        <f aca="false">IF(E42=0,"",G42/E42-1)</f>
        <v>-0.142542652724271</v>
      </c>
      <c r="M42" s="7" t="s">
        <v>20</v>
      </c>
    </row>
    <row r="43" customFormat="false" ht="15" hidden="false" customHeight="true" outlineLevel="0" collapsed="false">
      <c r="A43" s="4" t="n">
        <v>41</v>
      </c>
      <c r="B43" s="4" t="s">
        <v>67</v>
      </c>
      <c r="C43" s="4" t="n">
        <v>3</v>
      </c>
      <c r="D43" s="5" t="n">
        <v>128700</v>
      </c>
      <c r="E43" s="5" t="n">
        <v>131500</v>
      </c>
      <c r="F43" s="5" t="n">
        <v>114345</v>
      </c>
      <c r="G43" s="5"/>
      <c r="H43" s="4"/>
      <c r="I43" s="4"/>
      <c r="J43" s="4"/>
      <c r="K43" s="6"/>
      <c r="L43" s="6"/>
      <c r="M43" s="4" t="s">
        <v>15</v>
      </c>
    </row>
    <row r="44" customFormat="false" ht="15" hidden="false" customHeight="true" outlineLevel="0" collapsed="false">
      <c r="A44" s="4" t="n">
        <v>42</v>
      </c>
      <c r="B44" s="4" t="s">
        <v>68</v>
      </c>
      <c r="C44" s="4" t="n">
        <v>2</v>
      </c>
      <c r="D44" s="5" t="n">
        <v>106600</v>
      </c>
      <c r="E44" s="5" t="n">
        <v>165370</v>
      </c>
      <c r="F44" s="5" t="n">
        <v>143800</v>
      </c>
      <c r="G44" s="5"/>
      <c r="H44" s="4"/>
      <c r="I44" s="4"/>
      <c r="J44" s="4"/>
      <c r="K44" s="6"/>
      <c r="L44" s="6"/>
      <c r="M44" s="4" t="s">
        <v>15</v>
      </c>
    </row>
    <row r="45" customFormat="false" ht="15" hidden="false" customHeight="true" outlineLevel="0" collapsed="false">
      <c r="A45" s="4" t="n">
        <v>43</v>
      </c>
      <c r="B45" s="4" t="s">
        <v>69</v>
      </c>
      <c r="C45" s="4" t="n">
        <v>4</v>
      </c>
      <c r="D45" s="5" t="n">
        <v>1560</v>
      </c>
      <c r="E45" s="5" t="n">
        <v>6850</v>
      </c>
      <c r="F45" s="5" t="n">
        <v>5955</v>
      </c>
      <c r="G45" s="5"/>
      <c r="H45" s="4"/>
      <c r="I45" s="4"/>
      <c r="J45" s="4"/>
      <c r="K45" s="6"/>
      <c r="L45" s="6"/>
      <c r="M45" s="4" t="s">
        <v>15</v>
      </c>
    </row>
    <row r="46" customFormat="false" ht="15" hidden="false" customHeight="true" outlineLevel="0" collapsed="false">
      <c r="A46" s="4" t="n">
        <v>44</v>
      </c>
      <c r="B46" s="4" t="s">
        <v>70</v>
      </c>
      <c r="C46" s="4" t="n">
        <v>4</v>
      </c>
      <c r="D46" s="5" t="n">
        <v>1950</v>
      </c>
      <c r="E46" s="5" t="n">
        <v>2010</v>
      </c>
      <c r="F46" s="5" t="n">
        <v>1750</v>
      </c>
      <c r="G46" s="5"/>
      <c r="H46" s="4"/>
      <c r="I46" s="4"/>
      <c r="J46" s="4"/>
      <c r="K46" s="6"/>
      <c r="L46" s="6"/>
      <c r="M46" s="4" t="s">
        <v>15</v>
      </c>
    </row>
    <row r="47" customFormat="false" ht="15" hidden="false" customHeight="true" outlineLevel="0" collapsed="false">
      <c r="A47" s="4" t="n">
        <v>45</v>
      </c>
      <c r="B47" s="4" t="s">
        <v>71</v>
      </c>
      <c r="C47" s="4" t="n">
        <v>4</v>
      </c>
      <c r="D47" s="5" t="n">
        <v>2210</v>
      </c>
      <c r="E47" s="5" t="n">
        <v>2250</v>
      </c>
      <c r="F47" s="5" t="n">
        <v>1960</v>
      </c>
      <c r="G47" s="5"/>
      <c r="H47" s="4"/>
      <c r="I47" s="4"/>
      <c r="J47" s="4"/>
      <c r="K47" s="6"/>
      <c r="L47" s="6"/>
      <c r="M47" s="4" t="s">
        <v>15</v>
      </c>
    </row>
    <row r="48" customFormat="false" ht="15" hidden="false" customHeight="true" outlineLevel="0" collapsed="false">
      <c r="A48" s="7" t="n">
        <v>47</v>
      </c>
      <c r="B48" s="7" t="s">
        <v>72</v>
      </c>
      <c r="C48" s="7" t="n">
        <v>3</v>
      </c>
      <c r="D48" s="8" t="n">
        <v>13000</v>
      </c>
      <c r="E48" s="8" t="n">
        <v>8440</v>
      </c>
      <c r="F48" s="8" t="n">
        <v>6255</v>
      </c>
      <c r="G48" s="8" t="n">
        <v>16500</v>
      </c>
      <c r="H48" s="7" t="n">
        <v>3</v>
      </c>
      <c r="I48" s="7" t="s">
        <v>18</v>
      </c>
      <c r="J48" s="7" t="s">
        <v>73</v>
      </c>
      <c r="K48" s="9" t="n">
        <f aca="false">IF(D48=0,"",G48/D48-1)</f>
        <v>0.269230769230769</v>
      </c>
      <c r="L48" s="9" t="n">
        <f aca="false">IF(E48=0,"",G48/E48-1)</f>
        <v>0.954976303317536</v>
      </c>
      <c r="M48" s="7" t="s">
        <v>20</v>
      </c>
    </row>
    <row r="49" customFormat="false" ht="15" hidden="false" customHeight="true" outlineLevel="0" collapsed="false">
      <c r="A49" s="7" t="n">
        <v>48</v>
      </c>
      <c r="B49" s="7" t="s">
        <v>74</v>
      </c>
      <c r="C49" s="7" t="n">
        <v>2</v>
      </c>
      <c r="D49" s="8" t="n">
        <v>15600</v>
      </c>
      <c r="E49" s="8" t="n">
        <v>22640</v>
      </c>
      <c r="F49" s="8" t="n">
        <v>19686</v>
      </c>
      <c r="G49" s="8" t="n">
        <v>42000</v>
      </c>
      <c r="H49" s="7" t="n">
        <v>2</v>
      </c>
      <c r="I49" s="7" t="s">
        <v>18</v>
      </c>
      <c r="J49" s="7" t="s">
        <v>75</v>
      </c>
      <c r="K49" s="9" t="n">
        <f aca="false">IF(D49=0,"",G49/D49-1)</f>
        <v>1.69230769230769</v>
      </c>
      <c r="L49" s="9" t="n">
        <f aca="false">IF(E49=0,"",G49/E49-1)</f>
        <v>0.855123674911661</v>
      </c>
      <c r="M49" s="7" t="s">
        <v>20</v>
      </c>
    </row>
    <row r="50" customFormat="false" ht="15" hidden="false" customHeight="true" outlineLevel="0" collapsed="false">
      <c r="A50" s="10" t="n">
        <v>49</v>
      </c>
      <c r="B50" s="10" t="s">
        <v>76</v>
      </c>
      <c r="C50" s="10" t="n">
        <v>1</v>
      </c>
      <c r="D50" s="11" t="n">
        <v>20800</v>
      </c>
      <c r="E50" s="11" t="n">
        <v>22640</v>
      </c>
      <c r="F50" s="11" t="n">
        <v>19686</v>
      </c>
      <c r="G50" s="11" t="n">
        <v>29624</v>
      </c>
      <c r="H50" s="10" t="n">
        <v>1</v>
      </c>
      <c r="I50" s="10" t="s">
        <v>77</v>
      </c>
      <c r="J50" s="10" t="s">
        <v>78</v>
      </c>
      <c r="K50" s="12" t="n">
        <f aca="false">IF(D50=0,"",G50/D50-1)</f>
        <v>0.424230769230769</v>
      </c>
      <c r="L50" s="12" t="n">
        <f aca="false">IF(E50=0,"",G50/E50-1)</f>
        <v>0.308480565371025</v>
      </c>
      <c r="M50" s="10" t="s">
        <v>79</v>
      </c>
    </row>
    <row r="51" customFormat="false" ht="15" hidden="false" customHeight="true" outlineLevel="0" collapsed="false">
      <c r="A51" s="7" t="n">
        <v>50</v>
      </c>
      <c r="B51" s="7" t="s">
        <v>80</v>
      </c>
      <c r="C51" s="7" t="n">
        <v>1</v>
      </c>
      <c r="D51" s="8" t="n">
        <v>28600</v>
      </c>
      <c r="E51" s="8" t="n">
        <v>35670</v>
      </c>
      <c r="F51" s="8" t="n">
        <v>31019</v>
      </c>
      <c r="G51" s="8" t="n">
        <v>45000</v>
      </c>
      <c r="H51" s="7" t="n">
        <v>1</v>
      </c>
      <c r="I51" s="7" t="s">
        <v>18</v>
      </c>
      <c r="J51" s="7" t="s">
        <v>81</v>
      </c>
      <c r="K51" s="9" t="n">
        <f aca="false">IF(D51=0,"",G51/D51-1)</f>
        <v>0.573426573426573</v>
      </c>
      <c r="L51" s="9" t="n">
        <f aca="false">IF(E51=0,"",G51/E51-1)</f>
        <v>0.261564339781329</v>
      </c>
      <c r="M51" s="7" t="s">
        <v>20</v>
      </c>
    </row>
    <row r="52" customFormat="false" ht="15" hidden="false" customHeight="true" outlineLevel="0" collapsed="false">
      <c r="A52" s="10" t="n">
        <v>51</v>
      </c>
      <c r="B52" s="10" t="s">
        <v>82</v>
      </c>
      <c r="C52" s="10" t="n">
        <v>1</v>
      </c>
      <c r="D52" s="11" t="n">
        <v>32500</v>
      </c>
      <c r="E52" s="11" t="n">
        <v>15310</v>
      </c>
      <c r="F52" s="11" t="n">
        <v>11340</v>
      </c>
      <c r="G52" s="11" t="n">
        <v>47610</v>
      </c>
      <c r="H52" s="10" t="n">
        <v>1</v>
      </c>
      <c r="I52" s="10" t="s">
        <v>77</v>
      </c>
      <c r="J52" s="10" t="s">
        <v>83</v>
      </c>
      <c r="K52" s="12" t="n">
        <f aca="false">IF(D52=0,"",G52/D52-1)</f>
        <v>0.464923076923077</v>
      </c>
      <c r="L52" s="12" t="n">
        <f aca="false">IF(E52=0,"",G52/E52-1)</f>
        <v>2.1097322011757</v>
      </c>
      <c r="M52" s="10" t="s">
        <v>79</v>
      </c>
    </row>
    <row r="53" customFormat="false" ht="15" hidden="false" customHeight="true" outlineLevel="0" collapsed="false">
      <c r="A53" s="4" t="n">
        <v>52</v>
      </c>
      <c r="B53" s="4" t="s">
        <v>84</v>
      </c>
      <c r="C53" s="4" t="n">
        <v>2</v>
      </c>
      <c r="D53" s="5" t="n">
        <v>18200</v>
      </c>
      <c r="E53" s="5" t="n">
        <v>11480</v>
      </c>
      <c r="F53" s="5" t="n">
        <v>8500</v>
      </c>
      <c r="G53" s="5"/>
      <c r="H53" s="4"/>
      <c r="I53" s="4"/>
      <c r="J53" s="4"/>
      <c r="K53" s="6"/>
      <c r="L53" s="6"/>
      <c r="M53" s="4" t="s">
        <v>15</v>
      </c>
    </row>
    <row r="54" customFormat="false" ht="15" hidden="false" customHeight="true" outlineLevel="0" collapsed="false">
      <c r="A54" s="4" t="n">
        <v>53</v>
      </c>
      <c r="B54" s="4" t="s">
        <v>85</v>
      </c>
      <c r="C54" s="4" t="n">
        <v>1</v>
      </c>
      <c r="D54" s="5" t="n">
        <v>23400</v>
      </c>
      <c r="E54" s="5" t="n">
        <v>23400</v>
      </c>
      <c r="F54" s="5" t="n">
        <v>19030</v>
      </c>
      <c r="G54" s="5"/>
      <c r="H54" s="4"/>
      <c r="I54" s="4"/>
      <c r="J54" s="4"/>
      <c r="K54" s="6"/>
      <c r="L54" s="6"/>
      <c r="M54" s="4" t="s">
        <v>15</v>
      </c>
    </row>
    <row r="55" customFormat="false" ht="15" hidden="false" customHeight="true" outlineLevel="0" collapsed="false">
      <c r="A55" s="4" t="n">
        <v>54</v>
      </c>
      <c r="B55" s="4" t="s">
        <v>86</v>
      </c>
      <c r="C55" s="4" t="n">
        <v>2</v>
      </c>
      <c r="D55" s="5" t="n">
        <v>400946</v>
      </c>
      <c r="E55" s="5" t="n">
        <v>155250</v>
      </c>
      <c r="F55" s="5" t="n">
        <v>115000</v>
      </c>
      <c r="G55" s="5"/>
      <c r="H55" s="4"/>
      <c r="I55" s="4"/>
      <c r="J55" s="4"/>
      <c r="K55" s="6"/>
      <c r="L55" s="6"/>
      <c r="M55" s="4" t="s">
        <v>15</v>
      </c>
    </row>
    <row r="56" customFormat="false" ht="15" hidden="false" customHeight="true" outlineLevel="0" collapsed="false">
      <c r="A56" s="7" t="n">
        <v>55</v>
      </c>
      <c r="B56" s="7" t="s">
        <v>87</v>
      </c>
      <c r="C56" s="7" t="n">
        <v>2</v>
      </c>
      <c r="D56" s="8" t="n">
        <v>15600</v>
      </c>
      <c r="E56" s="8" t="n">
        <v>77050</v>
      </c>
      <c r="F56" s="8" t="n">
        <v>67000</v>
      </c>
      <c r="G56" s="8" t="n">
        <v>36000</v>
      </c>
      <c r="H56" s="7" t="n">
        <v>2</v>
      </c>
      <c r="I56" s="7" t="s">
        <v>18</v>
      </c>
      <c r="J56" s="7" t="s">
        <v>88</v>
      </c>
      <c r="K56" s="9" t="n">
        <f aca="false">IF(D56=0,"",G56/D56-1)</f>
        <v>1.30769230769231</v>
      </c>
      <c r="L56" s="9" t="n">
        <f aca="false">IF(E56=0,"",G56/E56-1)</f>
        <v>-0.532770927968851</v>
      </c>
      <c r="M56" s="7" t="s">
        <v>20</v>
      </c>
    </row>
    <row r="57" customFormat="false" ht="15" hidden="false" customHeight="true" outlineLevel="0" collapsed="false">
      <c r="A57" s="4" t="n">
        <v>56</v>
      </c>
      <c r="B57" s="4" t="s">
        <v>89</v>
      </c>
      <c r="C57" s="4" t="n">
        <v>1</v>
      </c>
      <c r="D57" s="5" t="n">
        <v>10400</v>
      </c>
      <c r="E57" s="5" t="n">
        <v>24060</v>
      </c>
      <c r="F57" s="5" t="n">
        <v>20921</v>
      </c>
      <c r="G57" s="5"/>
      <c r="H57" s="4"/>
      <c r="I57" s="4"/>
      <c r="J57" s="4"/>
      <c r="K57" s="6"/>
      <c r="L57" s="6"/>
      <c r="M57" s="4" t="s">
        <v>15</v>
      </c>
    </row>
    <row r="58" customFormat="false" ht="15" hidden="false" customHeight="true" outlineLevel="0" collapsed="false">
      <c r="A58" s="4" t="n">
        <v>57</v>
      </c>
      <c r="B58" s="4" t="s">
        <v>90</v>
      </c>
      <c r="C58" s="4" t="n">
        <v>4</v>
      </c>
      <c r="D58" s="5" t="n">
        <v>4550</v>
      </c>
      <c r="E58" s="5" t="n">
        <v>8920</v>
      </c>
      <c r="F58" s="5" t="n">
        <v>7760</v>
      </c>
      <c r="G58" s="5"/>
      <c r="H58" s="4"/>
      <c r="I58" s="4"/>
      <c r="J58" s="4"/>
      <c r="K58" s="6"/>
      <c r="L58" s="6"/>
      <c r="M58" s="4" t="s">
        <v>15</v>
      </c>
    </row>
    <row r="59" customFormat="false" ht="15" hidden="false" customHeight="true" outlineLevel="0" collapsed="false">
      <c r="A59" s="4" t="n">
        <v>58</v>
      </c>
      <c r="B59" s="4" t="s">
        <v>91</v>
      </c>
      <c r="C59" s="4" t="n">
        <v>12</v>
      </c>
      <c r="D59" s="5" t="n">
        <v>715</v>
      </c>
      <c r="E59" s="5" t="n">
        <v>5270</v>
      </c>
      <c r="F59" s="5" t="n">
        <v>4583</v>
      </c>
      <c r="G59" s="5"/>
      <c r="H59" s="4"/>
      <c r="I59" s="4"/>
      <c r="J59" s="4"/>
      <c r="K59" s="6"/>
      <c r="L59" s="6"/>
      <c r="M59" s="4" t="s">
        <v>15</v>
      </c>
    </row>
    <row r="60" customFormat="false" ht="15" hidden="false" customHeight="true" outlineLevel="0" collapsed="false">
      <c r="A60" s="4" t="n">
        <v>59</v>
      </c>
      <c r="B60" s="4" t="s">
        <v>92</v>
      </c>
      <c r="C60" s="4" t="n">
        <v>12</v>
      </c>
      <c r="D60" s="5" t="n">
        <v>1950</v>
      </c>
      <c r="E60" s="5" t="n">
        <v>4940</v>
      </c>
      <c r="F60" s="5" t="n">
        <v>4294</v>
      </c>
      <c r="G60" s="5"/>
      <c r="H60" s="4"/>
      <c r="I60" s="4"/>
      <c r="J60" s="4"/>
      <c r="K60" s="6"/>
      <c r="L60" s="6"/>
      <c r="M60" s="4" t="s">
        <v>15</v>
      </c>
    </row>
    <row r="61" customFormat="false" ht="15" hidden="false" customHeight="true" outlineLevel="0" collapsed="false">
      <c r="A61" s="10" t="n">
        <v>60</v>
      </c>
      <c r="B61" s="10" t="s">
        <v>93</v>
      </c>
      <c r="C61" s="10" t="n">
        <v>2</v>
      </c>
      <c r="D61" s="11" t="n">
        <v>9100</v>
      </c>
      <c r="E61" s="11" t="n">
        <v>9100</v>
      </c>
      <c r="F61" s="11" t="n">
        <v>5250</v>
      </c>
      <c r="G61" s="11" t="n">
        <v>12696</v>
      </c>
      <c r="H61" s="10" t="n">
        <v>2</v>
      </c>
      <c r="I61" s="10" t="s">
        <v>77</v>
      </c>
      <c r="J61" s="10" t="s">
        <v>94</v>
      </c>
      <c r="K61" s="12" t="n">
        <f aca="false">IF(D61=0,"",G61/D61-1)</f>
        <v>0.395164835164835</v>
      </c>
      <c r="L61" s="12" t="n">
        <f aca="false">IF(E61=0,"",G61/E61-1)</f>
        <v>0.395164835164835</v>
      </c>
      <c r="M61" s="10" t="s">
        <v>79</v>
      </c>
    </row>
    <row r="62" customFormat="false" ht="15" hidden="false" customHeight="true" outlineLevel="0" collapsed="false">
      <c r="A62" s="7" t="n">
        <v>61</v>
      </c>
      <c r="B62" s="7" t="s">
        <v>95</v>
      </c>
      <c r="C62" s="7" t="n">
        <v>2</v>
      </c>
      <c r="D62" s="8" t="n">
        <v>5850</v>
      </c>
      <c r="E62" s="8" t="n">
        <v>6810</v>
      </c>
      <c r="F62" s="8" t="n">
        <v>5920</v>
      </c>
      <c r="G62" s="8" t="n">
        <v>3000</v>
      </c>
      <c r="H62" s="7" t="n">
        <v>2</v>
      </c>
      <c r="I62" s="7" t="s">
        <v>18</v>
      </c>
      <c r="J62" s="7" t="s">
        <v>96</v>
      </c>
      <c r="K62" s="9" t="n">
        <f aca="false">IF(D62=0,"",G62/D62-1)</f>
        <v>-0.487179487179487</v>
      </c>
      <c r="L62" s="9" t="n">
        <f aca="false">IF(E62=0,"",G62/E62-1)</f>
        <v>-0.559471365638767</v>
      </c>
      <c r="M62" s="7" t="s">
        <v>20</v>
      </c>
    </row>
    <row r="63" customFormat="false" ht="15" hidden="false" customHeight="true" outlineLevel="0" collapsed="false">
      <c r="A63" s="4" t="n">
        <v>62</v>
      </c>
      <c r="B63" s="4" t="s">
        <v>97</v>
      </c>
      <c r="C63" s="4" t="n">
        <v>3</v>
      </c>
      <c r="D63" s="5" t="n">
        <v>2600</v>
      </c>
      <c r="E63" s="5" t="n">
        <v>4020</v>
      </c>
      <c r="F63" s="5" t="n">
        <v>3499</v>
      </c>
      <c r="G63" s="5"/>
      <c r="H63" s="4"/>
      <c r="I63" s="4"/>
      <c r="J63" s="4"/>
      <c r="K63" s="6"/>
      <c r="L63" s="6"/>
      <c r="M63" s="4" t="s">
        <v>15</v>
      </c>
    </row>
    <row r="64" customFormat="false" ht="15" hidden="false" customHeight="true" outlineLevel="0" collapsed="false">
      <c r="A64" s="10" t="n">
        <v>63</v>
      </c>
      <c r="B64" s="10" t="s">
        <v>98</v>
      </c>
      <c r="C64" s="10" t="n">
        <v>1</v>
      </c>
      <c r="D64" s="11" t="n">
        <v>5551</v>
      </c>
      <c r="E64" s="11" t="n">
        <v>5551</v>
      </c>
      <c r="F64" s="11" t="n">
        <v>4630</v>
      </c>
      <c r="G64" s="11" t="n">
        <v>11638</v>
      </c>
      <c r="H64" s="10" t="n">
        <v>1</v>
      </c>
      <c r="I64" s="10" t="s">
        <v>77</v>
      </c>
      <c r="J64" s="10" t="s">
        <v>99</v>
      </c>
      <c r="K64" s="12" t="n">
        <f aca="false">IF(D64=0,"",G64/D64-1)</f>
        <v>1.09655917852639</v>
      </c>
      <c r="L64" s="12" t="n">
        <f aca="false">IF(E64=0,"",G64/E64-1)</f>
        <v>1.09655917852639</v>
      </c>
      <c r="M64" s="10" t="s">
        <v>79</v>
      </c>
    </row>
    <row r="65" customFormat="false" ht="15" hidden="false" customHeight="true" outlineLevel="0" collapsed="false">
      <c r="A65" s="4" t="n">
        <v>64</v>
      </c>
      <c r="B65" s="4" t="s">
        <v>100</v>
      </c>
      <c r="C65" s="4" t="n">
        <v>3</v>
      </c>
      <c r="D65" s="5" t="n">
        <v>1560</v>
      </c>
      <c r="E65" s="5" t="n">
        <v>1560</v>
      </c>
      <c r="F65" s="5" t="n">
        <v>1350</v>
      </c>
      <c r="G65" s="5"/>
      <c r="H65" s="4"/>
      <c r="I65" s="4"/>
      <c r="J65" s="4"/>
      <c r="K65" s="6"/>
      <c r="L65" s="6"/>
      <c r="M65" s="4" t="s">
        <v>15</v>
      </c>
    </row>
    <row r="66" customFormat="false" ht="15" hidden="false" customHeight="true" outlineLevel="0" collapsed="false">
      <c r="A66" s="4" t="n">
        <v>65</v>
      </c>
      <c r="B66" s="4" t="s">
        <v>101</v>
      </c>
      <c r="C66" s="4" t="n">
        <v>3</v>
      </c>
      <c r="D66" s="5" t="n">
        <v>1560</v>
      </c>
      <c r="E66" s="5" t="n">
        <v>1560</v>
      </c>
      <c r="F66" s="5" t="n">
        <v>1350</v>
      </c>
      <c r="G66" s="5"/>
      <c r="H66" s="4"/>
      <c r="I66" s="4"/>
      <c r="J66" s="4"/>
      <c r="K66" s="6"/>
      <c r="L66" s="6"/>
      <c r="M66" s="4" t="s">
        <v>15</v>
      </c>
    </row>
    <row r="67" customFormat="false" ht="15" hidden="false" customHeight="true" outlineLevel="0" collapsed="false">
      <c r="A67" s="7" t="n">
        <v>66</v>
      </c>
      <c r="B67" s="7" t="s">
        <v>102</v>
      </c>
      <c r="C67" s="7" t="n">
        <v>2</v>
      </c>
      <c r="D67" s="8" t="n">
        <v>11700</v>
      </c>
      <c r="E67" s="8" t="n">
        <v>20120</v>
      </c>
      <c r="F67" s="8" t="n">
        <v>17494</v>
      </c>
      <c r="G67" s="8" t="n">
        <v>6500</v>
      </c>
      <c r="H67" s="7" t="n">
        <v>2</v>
      </c>
      <c r="I67" s="7" t="s">
        <v>18</v>
      </c>
      <c r="J67" s="7" t="s">
        <v>103</v>
      </c>
      <c r="K67" s="9" t="n">
        <f aca="false">IF(D67=0,"",G67/D67-1)</f>
        <v>-0.444444444444444</v>
      </c>
      <c r="L67" s="9" t="n">
        <f aca="false">IF(E67=0,"",G67/E67-1)</f>
        <v>-0.676938369781312</v>
      </c>
      <c r="M67" s="7" t="s">
        <v>20</v>
      </c>
    </row>
    <row r="68" customFormat="false" ht="15" hidden="false" customHeight="true" outlineLevel="0" collapsed="false">
      <c r="A68" s="7" t="n">
        <v>67</v>
      </c>
      <c r="B68" s="7" t="s">
        <v>104</v>
      </c>
      <c r="C68" s="7" t="n">
        <v>2</v>
      </c>
      <c r="D68" s="8" t="n">
        <v>9750</v>
      </c>
      <c r="E68" s="8" t="n">
        <v>20120</v>
      </c>
      <c r="F68" s="8" t="n">
        <v>17494</v>
      </c>
      <c r="G68" s="8" t="n">
        <v>5500</v>
      </c>
      <c r="H68" s="7" t="n">
        <v>2</v>
      </c>
      <c r="I68" s="7" t="s">
        <v>18</v>
      </c>
      <c r="J68" s="7" t="s">
        <v>105</v>
      </c>
      <c r="K68" s="9" t="n">
        <f aca="false">IF(D68=0,"",G68/D68-1)</f>
        <v>-0.435897435897436</v>
      </c>
      <c r="L68" s="9" t="n">
        <f aca="false">IF(E68=0,"",G68/E68-1)</f>
        <v>-0.726640159045726</v>
      </c>
      <c r="M68" s="7" t="s">
        <v>20</v>
      </c>
    </row>
    <row r="69" customFormat="false" ht="15" hidden="false" customHeight="true" outlineLevel="0" collapsed="false">
      <c r="A69" s="4" t="n">
        <v>69</v>
      </c>
      <c r="B69" s="4" t="s">
        <v>106</v>
      </c>
      <c r="C69" s="4" t="n">
        <v>2</v>
      </c>
      <c r="D69" s="5" t="n">
        <v>23400</v>
      </c>
      <c r="E69" s="5" t="n">
        <v>23400</v>
      </c>
      <c r="F69" s="5" t="n">
        <v>16156</v>
      </c>
      <c r="G69" s="5"/>
      <c r="H69" s="4"/>
      <c r="I69" s="4"/>
      <c r="J69" s="4"/>
      <c r="K69" s="6"/>
      <c r="L69" s="6"/>
      <c r="M69" s="4" t="s">
        <v>15</v>
      </c>
    </row>
    <row r="70" customFormat="false" ht="15" hidden="false" customHeight="true" outlineLevel="0" collapsed="false">
      <c r="A70" s="4" t="n">
        <v>70</v>
      </c>
      <c r="B70" s="4" t="s">
        <v>107</v>
      </c>
      <c r="C70" s="4" t="n">
        <v>1</v>
      </c>
      <c r="D70" s="5" t="n">
        <v>32500</v>
      </c>
      <c r="E70" s="5" t="n">
        <v>15460</v>
      </c>
      <c r="F70" s="5" t="n">
        <v>11453</v>
      </c>
      <c r="G70" s="5"/>
      <c r="H70" s="4"/>
      <c r="I70" s="4"/>
      <c r="J70" s="4"/>
      <c r="K70" s="6"/>
      <c r="L70" s="6"/>
      <c r="M70" s="4" t="s">
        <v>15</v>
      </c>
    </row>
    <row r="71" customFormat="false" ht="15" hidden="false" customHeight="true" outlineLevel="0" collapsed="false">
      <c r="A71" s="7" t="n">
        <v>71</v>
      </c>
      <c r="B71" s="7" t="s">
        <v>108</v>
      </c>
      <c r="C71" s="7" t="n">
        <v>1</v>
      </c>
      <c r="D71" s="8" t="n">
        <v>1105</v>
      </c>
      <c r="E71" s="8" t="n">
        <v>1150</v>
      </c>
      <c r="F71" s="8" t="n">
        <v>1000</v>
      </c>
      <c r="G71" s="8" t="n">
        <v>480</v>
      </c>
      <c r="H71" s="7" t="n">
        <v>1</v>
      </c>
      <c r="I71" s="7" t="s">
        <v>18</v>
      </c>
      <c r="J71" s="7" t="s">
        <v>109</v>
      </c>
      <c r="K71" s="9" t="n">
        <f aca="false">IF(D71=0,"",G71/D71-1)</f>
        <v>-0.565610859728507</v>
      </c>
      <c r="L71" s="9" t="n">
        <f aca="false">IF(E71=0,"",G71/E71-1)</f>
        <v>-0.582608695652174</v>
      </c>
      <c r="M71" s="7" t="s">
        <v>20</v>
      </c>
    </row>
    <row r="72" customFormat="false" ht="15" hidden="false" customHeight="true" outlineLevel="0" collapsed="false">
      <c r="A72" s="4" t="n">
        <v>73</v>
      </c>
      <c r="B72" s="4" t="s">
        <v>110</v>
      </c>
      <c r="C72" s="4" t="n">
        <v>1</v>
      </c>
      <c r="D72" s="5" t="n">
        <v>45500</v>
      </c>
      <c r="E72" s="5" t="n">
        <v>29950</v>
      </c>
      <c r="F72" s="5" t="n">
        <v>22185</v>
      </c>
      <c r="G72" s="5"/>
      <c r="H72" s="4"/>
      <c r="I72" s="4"/>
      <c r="J72" s="4"/>
      <c r="K72" s="6"/>
      <c r="L72" s="6"/>
      <c r="M72" s="4" t="s">
        <v>15</v>
      </c>
    </row>
    <row r="73" customFormat="false" ht="15" hidden="false" customHeight="true" outlineLevel="0" collapsed="false">
      <c r="A73" s="4" t="n">
        <v>74</v>
      </c>
      <c r="B73" s="4" t="s">
        <v>111</v>
      </c>
      <c r="C73" s="4" t="n">
        <v>2</v>
      </c>
      <c r="D73" s="5" t="n">
        <v>23400</v>
      </c>
      <c r="E73" s="5" t="n">
        <v>81290</v>
      </c>
      <c r="F73" s="5" t="n">
        <v>70685</v>
      </c>
      <c r="G73" s="5"/>
      <c r="H73" s="4"/>
      <c r="I73" s="4"/>
      <c r="J73" s="4"/>
      <c r="K73" s="6"/>
      <c r="L73" s="6"/>
      <c r="M73" s="4" t="s">
        <v>15</v>
      </c>
    </row>
    <row r="74" customFormat="false" ht="15" hidden="false" customHeight="true" outlineLevel="0" collapsed="false">
      <c r="A74" s="7" t="n">
        <v>75</v>
      </c>
      <c r="B74" s="7" t="s">
        <v>112</v>
      </c>
      <c r="C74" s="7" t="n">
        <v>2</v>
      </c>
      <c r="D74" s="8" t="n">
        <v>1950</v>
      </c>
      <c r="E74" s="8" t="n">
        <v>8070</v>
      </c>
      <c r="F74" s="8" t="n">
        <v>7020</v>
      </c>
      <c r="G74" s="8" t="n">
        <v>3400</v>
      </c>
      <c r="H74" s="7" t="n">
        <v>2</v>
      </c>
      <c r="I74" s="7" t="s">
        <v>18</v>
      </c>
      <c r="J74" s="7" t="s">
        <v>113</v>
      </c>
      <c r="K74" s="9" t="n">
        <f aca="false">IF(D74=0,"",G74/D74-1)</f>
        <v>0.743589743589744</v>
      </c>
      <c r="L74" s="9" t="n">
        <f aca="false">IF(E74=0,"",G74/E74-1)</f>
        <v>-0.578686493184635</v>
      </c>
      <c r="M74" s="7" t="s">
        <v>20</v>
      </c>
    </row>
    <row r="75" customFormat="false" ht="15" hidden="false" customHeight="true" outlineLevel="0" collapsed="false">
      <c r="A75" s="7" t="n">
        <v>76</v>
      </c>
      <c r="B75" s="7" t="s">
        <v>114</v>
      </c>
      <c r="C75" s="7" t="n">
        <v>2</v>
      </c>
      <c r="D75" s="8" t="n">
        <v>2080</v>
      </c>
      <c r="E75" s="8" t="n">
        <v>11070</v>
      </c>
      <c r="F75" s="8" t="n">
        <v>9630</v>
      </c>
      <c r="G75" s="8" t="n">
        <v>3600</v>
      </c>
      <c r="H75" s="7" t="n">
        <v>2</v>
      </c>
      <c r="I75" s="7" t="s">
        <v>18</v>
      </c>
      <c r="J75" s="7" t="s">
        <v>115</v>
      </c>
      <c r="K75" s="9" t="n">
        <f aca="false">IF(D75=0,"",G75/D75-1)</f>
        <v>0.730769230769231</v>
      </c>
      <c r="L75" s="9" t="n">
        <f aca="false">IF(E75=0,"",G75/E75-1)</f>
        <v>-0.67479674796748</v>
      </c>
      <c r="M75" s="7" t="s">
        <v>20</v>
      </c>
    </row>
    <row r="76" customFormat="false" ht="15" hidden="false" customHeight="true" outlineLevel="0" collapsed="false">
      <c r="A76" s="7" t="n">
        <v>77</v>
      </c>
      <c r="B76" s="7" t="s">
        <v>116</v>
      </c>
      <c r="C76" s="7" t="n">
        <v>2</v>
      </c>
      <c r="D76" s="8" t="n">
        <v>2210</v>
      </c>
      <c r="E76" s="8" t="n">
        <v>11070</v>
      </c>
      <c r="F76" s="8" t="n">
        <v>9630</v>
      </c>
      <c r="G76" s="8" t="n">
        <v>4000</v>
      </c>
      <c r="H76" s="7" t="n">
        <v>2</v>
      </c>
      <c r="I76" s="7" t="s">
        <v>18</v>
      </c>
      <c r="J76" s="7" t="s">
        <v>117</v>
      </c>
      <c r="K76" s="9" t="n">
        <f aca="false">IF(D76=0,"",G76/D76-1)</f>
        <v>0.809954751131222</v>
      </c>
      <c r="L76" s="9" t="n">
        <f aca="false">IF(E76=0,"",G76/E76-1)</f>
        <v>-0.6386630532972</v>
      </c>
      <c r="M76" s="7" t="s">
        <v>20</v>
      </c>
    </row>
    <row r="77" customFormat="false" ht="15" hidden="false" customHeight="true" outlineLevel="0" collapsed="false">
      <c r="A77" s="7" t="n">
        <v>78</v>
      </c>
      <c r="B77" s="7" t="s">
        <v>118</v>
      </c>
      <c r="C77" s="7" t="n">
        <v>2</v>
      </c>
      <c r="D77" s="8" t="n">
        <v>2340</v>
      </c>
      <c r="E77" s="8" t="n">
        <v>9110</v>
      </c>
      <c r="F77" s="8" t="n">
        <v>7920</v>
      </c>
      <c r="G77" s="8" t="n">
        <v>4000</v>
      </c>
      <c r="H77" s="7" t="n">
        <v>2</v>
      </c>
      <c r="I77" s="7" t="s">
        <v>18</v>
      </c>
      <c r="J77" s="7" t="s">
        <v>119</v>
      </c>
      <c r="K77" s="9" t="n">
        <f aca="false">IF(D77=0,"",G77/D77-1)</f>
        <v>0.709401709401709</v>
      </c>
      <c r="L77" s="9" t="n">
        <f aca="false">IF(E77=0,"",G77/E77-1)</f>
        <v>-0.560922063666301</v>
      </c>
      <c r="M77" s="7" t="s">
        <v>20</v>
      </c>
    </row>
    <row r="78" customFormat="false" ht="15" hidden="false" customHeight="true" outlineLevel="0" collapsed="false">
      <c r="A78" s="7" t="n">
        <v>79</v>
      </c>
      <c r="B78" s="7" t="s">
        <v>120</v>
      </c>
      <c r="C78" s="7" t="n">
        <v>2</v>
      </c>
      <c r="D78" s="8" t="n">
        <v>2470</v>
      </c>
      <c r="E78" s="8" t="n">
        <v>12940</v>
      </c>
      <c r="F78" s="8" t="n">
        <v>11250</v>
      </c>
      <c r="G78" s="8" t="n">
        <v>4500</v>
      </c>
      <c r="H78" s="7" t="n">
        <v>2</v>
      </c>
      <c r="I78" s="7" t="s">
        <v>18</v>
      </c>
      <c r="J78" s="7" t="s">
        <v>121</v>
      </c>
      <c r="K78" s="9" t="n">
        <f aca="false">IF(D78=0,"",G78/D78-1)</f>
        <v>0.821862348178138</v>
      </c>
      <c r="L78" s="9" t="n">
        <f aca="false">IF(E78=0,"",G78/E78-1)</f>
        <v>-0.652241112828439</v>
      </c>
      <c r="M78" s="7" t="s">
        <v>20</v>
      </c>
    </row>
    <row r="79" customFormat="false" ht="15" hidden="false" customHeight="true" outlineLevel="0" collapsed="false">
      <c r="A79" s="7" t="n">
        <v>80</v>
      </c>
      <c r="B79" s="7" t="s">
        <v>122</v>
      </c>
      <c r="C79" s="7" t="n">
        <v>2</v>
      </c>
      <c r="D79" s="8" t="n">
        <v>2600</v>
      </c>
      <c r="E79" s="8" t="n">
        <v>14490</v>
      </c>
      <c r="F79" s="8" t="n">
        <v>12600</v>
      </c>
      <c r="G79" s="8" t="n">
        <v>4500</v>
      </c>
      <c r="H79" s="7" t="n">
        <v>2</v>
      </c>
      <c r="I79" s="7" t="s">
        <v>18</v>
      </c>
      <c r="J79" s="7" t="s">
        <v>123</v>
      </c>
      <c r="K79" s="9" t="n">
        <f aca="false">IF(D79=0,"",G79/D79-1)</f>
        <v>0.730769230769231</v>
      </c>
      <c r="L79" s="9" t="n">
        <f aca="false">IF(E79=0,"",G79/E79-1)</f>
        <v>-0.68944099378882</v>
      </c>
      <c r="M79" s="7" t="s">
        <v>20</v>
      </c>
    </row>
    <row r="80" customFormat="false" ht="15" hidden="false" customHeight="true" outlineLevel="0" collapsed="false">
      <c r="A80" s="7" t="n">
        <v>81</v>
      </c>
      <c r="B80" s="7" t="s">
        <v>124</v>
      </c>
      <c r="C80" s="7" t="n">
        <v>2</v>
      </c>
      <c r="D80" s="8" t="n">
        <v>2730</v>
      </c>
      <c r="E80" s="8" t="n">
        <v>12940</v>
      </c>
      <c r="F80" s="8" t="n">
        <v>11250</v>
      </c>
      <c r="G80" s="8" t="n">
        <v>4800</v>
      </c>
      <c r="H80" s="7" t="n">
        <v>2</v>
      </c>
      <c r="I80" s="7" t="s">
        <v>18</v>
      </c>
      <c r="J80" s="7" t="s">
        <v>125</v>
      </c>
      <c r="K80" s="9" t="n">
        <f aca="false">IF(D80=0,"",G80/D80-1)</f>
        <v>0.758241758241758</v>
      </c>
      <c r="L80" s="9" t="n">
        <f aca="false">IF(E80=0,"",G80/E80-1)</f>
        <v>-0.629057187017002</v>
      </c>
      <c r="M80" s="7" t="s">
        <v>20</v>
      </c>
    </row>
    <row r="81" customFormat="false" ht="15" hidden="false" customHeight="true" outlineLevel="0" collapsed="false">
      <c r="A81" s="7" t="n">
        <v>82</v>
      </c>
      <c r="B81" s="7" t="s">
        <v>126</v>
      </c>
      <c r="C81" s="7" t="n">
        <v>2</v>
      </c>
      <c r="D81" s="8" t="n">
        <v>3250</v>
      </c>
      <c r="E81" s="8" t="n">
        <v>14080</v>
      </c>
      <c r="F81" s="8" t="n">
        <v>12240</v>
      </c>
      <c r="G81" s="8" t="n">
        <v>5100</v>
      </c>
      <c r="H81" s="7" t="n">
        <v>2</v>
      </c>
      <c r="I81" s="7" t="s">
        <v>18</v>
      </c>
      <c r="J81" s="7" t="s">
        <v>127</v>
      </c>
      <c r="K81" s="9" t="n">
        <f aca="false">IF(D81=0,"",G81/D81-1)</f>
        <v>0.569230769230769</v>
      </c>
      <c r="L81" s="9" t="n">
        <f aca="false">IF(E81=0,"",G81/E81-1)</f>
        <v>-0.637784090909091</v>
      </c>
      <c r="M81" s="7" t="s">
        <v>20</v>
      </c>
    </row>
    <row r="82" customFormat="false" ht="15" hidden="false" customHeight="true" outlineLevel="0" collapsed="false">
      <c r="A82" s="7" t="n">
        <v>83</v>
      </c>
      <c r="B82" s="7" t="s">
        <v>128</v>
      </c>
      <c r="C82" s="7" t="n">
        <v>1</v>
      </c>
      <c r="D82" s="8" t="n">
        <v>4160</v>
      </c>
      <c r="E82" s="8" t="n">
        <v>15530</v>
      </c>
      <c r="F82" s="8" t="n">
        <v>13500</v>
      </c>
      <c r="G82" s="8" t="n">
        <v>5900</v>
      </c>
      <c r="H82" s="7" t="n">
        <v>1</v>
      </c>
      <c r="I82" s="7" t="s">
        <v>18</v>
      </c>
      <c r="J82" s="7" t="s">
        <v>129</v>
      </c>
      <c r="K82" s="9" t="n">
        <f aca="false">IF(D82=0,"",G82/D82-1)</f>
        <v>0.418269230769231</v>
      </c>
      <c r="L82" s="9" t="n">
        <f aca="false">IF(E82=0,"",G82/E82-1)</f>
        <v>-0.620090148100451</v>
      </c>
      <c r="M82" s="7" t="s">
        <v>20</v>
      </c>
    </row>
    <row r="83" customFormat="false" ht="15" hidden="false" customHeight="true" outlineLevel="0" collapsed="false">
      <c r="A83" s="7" t="n">
        <v>84</v>
      </c>
      <c r="B83" s="7" t="s">
        <v>130</v>
      </c>
      <c r="C83" s="7" t="n">
        <v>1</v>
      </c>
      <c r="D83" s="8" t="n">
        <v>5850</v>
      </c>
      <c r="E83" s="8" t="n">
        <v>23290</v>
      </c>
      <c r="F83" s="8" t="n">
        <v>20250</v>
      </c>
      <c r="G83" s="8" t="n">
        <v>7500</v>
      </c>
      <c r="H83" s="7" t="n">
        <v>1</v>
      </c>
      <c r="I83" s="7" t="s">
        <v>18</v>
      </c>
      <c r="J83" s="7" t="s">
        <v>131</v>
      </c>
      <c r="K83" s="9" t="n">
        <f aca="false">IF(D83=0,"",G83/D83-1)</f>
        <v>0.282051282051282</v>
      </c>
      <c r="L83" s="9" t="n">
        <f aca="false">IF(E83=0,"",G83/E83-1)</f>
        <v>-0.677973379132675</v>
      </c>
      <c r="M83" s="7" t="s">
        <v>20</v>
      </c>
    </row>
    <row r="84" customFormat="false" ht="15" hidden="false" customHeight="true" outlineLevel="0" collapsed="false">
      <c r="A84" s="7" t="n">
        <v>85</v>
      </c>
      <c r="B84" s="7" t="s">
        <v>132</v>
      </c>
      <c r="C84" s="7" t="n">
        <v>1</v>
      </c>
      <c r="D84" s="8" t="n">
        <v>8450</v>
      </c>
      <c r="E84" s="8" t="n">
        <v>45590</v>
      </c>
      <c r="F84" s="8" t="n">
        <v>39640</v>
      </c>
      <c r="G84" s="8" t="n">
        <v>13500</v>
      </c>
      <c r="H84" s="7" t="n">
        <v>1</v>
      </c>
      <c r="I84" s="7" t="s">
        <v>18</v>
      </c>
      <c r="J84" s="7" t="s">
        <v>133</v>
      </c>
      <c r="K84" s="9" t="n">
        <f aca="false">IF(D84=0,"",G84/D84-1)</f>
        <v>0.597633136094675</v>
      </c>
      <c r="L84" s="9" t="n">
        <f aca="false">IF(E84=0,"",G84/E84-1)</f>
        <v>-0.703882430357535</v>
      </c>
      <c r="M84" s="7" t="s">
        <v>20</v>
      </c>
    </row>
    <row r="85" customFormat="false" ht="15" hidden="false" customHeight="true" outlineLevel="0" collapsed="false">
      <c r="A85" s="7" t="n">
        <v>86</v>
      </c>
      <c r="B85" s="7" t="s">
        <v>134</v>
      </c>
      <c r="C85" s="7" t="n">
        <v>1</v>
      </c>
      <c r="D85" s="8" t="n">
        <v>9750</v>
      </c>
      <c r="E85" s="8" t="n">
        <v>45590</v>
      </c>
      <c r="F85" s="8" t="n">
        <v>39640</v>
      </c>
      <c r="G85" s="8" t="n">
        <v>13500</v>
      </c>
      <c r="H85" s="7" t="n">
        <v>1</v>
      </c>
      <c r="I85" s="7" t="s">
        <v>18</v>
      </c>
      <c r="J85" s="7" t="s">
        <v>135</v>
      </c>
      <c r="K85" s="9" t="n">
        <f aca="false">IF(D85=0,"",G85/D85-1)</f>
        <v>0.384615384615385</v>
      </c>
      <c r="L85" s="9" t="n">
        <f aca="false">IF(E85=0,"",G85/E85-1)</f>
        <v>-0.703882430357535</v>
      </c>
      <c r="M85" s="7" t="s">
        <v>20</v>
      </c>
    </row>
    <row r="86" customFormat="false" ht="15" hidden="false" customHeight="true" outlineLevel="0" collapsed="false">
      <c r="A86" s="7" t="n">
        <v>87</v>
      </c>
      <c r="B86" s="7" t="s">
        <v>136</v>
      </c>
      <c r="C86" s="7" t="n">
        <v>1</v>
      </c>
      <c r="D86" s="8" t="n">
        <v>11700</v>
      </c>
      <c r="E86" s="8" t="n">
        <v>46580</v>
      </c>
      <c r="F86" s="8" t="n">
        <v>40500</v>
      </c>
      <c r="G86" s="8" t="n">
        <v>14500</v>
      </c>
      <c r="H86" s="7" t="n">
        <v>1</v>
      </c>
      <c r="I86" s="7" t="s">
        <v>18</v>
      </c>
      <c r="J86" s="7" t="s">
        <v>137</v>
      </c>
      <c r="K86" s="9" t="n">
        <f aca="false">IF(D86=0,"",G86/D86-1)</f>
        <v>0.239316239316239</v>
      </c>
      <c r="L86" s="9" t="n">
        <f aca="false">IF(E86=0,"",G86/E86-1)</f>
        <v>-0.688707599828253</v>
      </c>
      <c r="M86" s="7" t="s">
        <v>20</v>
      </c>
    </row>
    <row r="87" customFormat="false" ht="15" hidden="false" customHeight="true" outlineLevel="0" collapsed="false">
      <c r="A87" s="10" t="n">
        <v>88</v>
      </c>
      <c r="B87" s="10" t="s">
        <v>138</v>
      </c>
      <c r="C87" s="10" t="n">
        <v>2</v>
      </c>
      <c r="D87" s="11" t="n">
        <v>4550</v>
      </c>
      <c r="E87" s="11" t="n">
        <v>4550</v>
      </c>
      <c r="F87" s="11" t="n">
        <v>3289</v>
      </c>
      <c r="G87" s="11" t="n">
        <v>5290</v>
      </c>
      <c r="H87" s="10" t="n">
        <v>2</v>
      </c>
      <c r="I87" s="10" t="s">
        <v>77</v>
      </c>
      <c r="J87" s="10" t="s">
        <v>139</v>
      </c>
      <c r="K87" s="12" t="n">
        <f aca="false">IF(D87=0,"",G87/D87-1)</f>
        <v>0.162637362637363</v>
      </c>
      <c r="L87" s="12" t="n">
        <f aca="false">IF(E87=0,"",G87/E87-1)</f>
        <v>0.162637362637363</v>
      </c>
      <c r="M87" s="10" t="s">
        <v>79</v>
      </c>
    </row>
    <row r="88" customFormat="false" ht="15" hidden="false" customHeight="true" outlineLevel="0" collapsed="false">
      <c r="A88" s="4" t="n">
        <v>89</v>
      </c>
      <c r="B88" s="4" t="s">
        <v>138</v>
      </c>
      <c r="C88" s="4" t="n">
        <v>2</v>
      </c>
      <c r="D88" s="5" t="n">
        <v>5850</v>
      </c>
      <c r="E88" s="5" t="n">
        <v>17090</v>
      </c>
      <c r="F88" s="5" t="n">
        <v>14857</v>
      </c>
      <c r="G88" s="5"/>
      <c r="H88" s="4"/>
      <c r="I88" s="4"/>
      <c r="J88" s="4"/>
      <c r="K88" s="6"/>
      <c r="L88" s="6"/>
      <c r="M88" s="4" t="s">
        <v>15</v>
      </c>
    </row>
    <row r="89" customFormat="false" ht="15" hidden="false" customHeight="true" outlineLevel="0" collapsed="false">
      <c r="A89" s="4" t="n">
        <v>90</v>
      </c>
      <c r="B89" s="4" t="s">
        <v>138</v>
      </c>
      <c r="C89" s="4" t="n">
        <v>2</v>
      </c>
      <c r="D89" s="5" t="n">
        <v>7150</v>
      </c>
      <c r="E89" s="5" t="n">
        <v>17470</v>
      </c>
      <c r="F89" s="5" t="n">
        <v>15188</v>
      </c>
      <c r="G89" s="5"/>
      <c r="H89" s="4"/>
      <c r="I89" s="4"/>
      <c r="J89" s="4"/>
      <c r="K89" s="6"/>
      <c r="L89" s="6"/>
      <c r="M89" s="4" t="s">
        <v>15</v>
      </c>
    </row>
    <row r="90" customFormat="false" ht="15" hidden="false" customHeight="true" outlineLevel="0" collapsed="false">
      <c r="A90" s="4" t="n">
        <v>91</v>
      </c>
      <c r="B90" s="4" t="s">
        <v>140</v>
      </c>
      <c r="C90" s="4" t="n">
        <v>2</v>
      </c>
      <c r="D90" s="5" t="n">
        <v>2340</v>
      </c>
      <c r="E90" s="5" t="n">
        <v>7200</v>
      </c>
      <c r="F90" s="5" t="n">
        <v>6263</v>
      </c>
      <c r="G90" s="5"/>
      <c r="H90" s="4"/>
      <c r="I90" s="4"/>
      <c r="J90" s="4"/>
      <c r="K90" s="6"/>
      <c r="L90" s="6"/>
      <c r="M90" s="4" t="s">
        <v>15</v>
      </c>
    </row>
    <row r="91" customFormat="false" ht="15" hidden="false" customHeight="true" outlineLevel="0" collapsed="false">
      <c r="A91" s="4" t="n">
        <v>92</v>
      </c>
      <c r="B91" s="4" t="s">
        <v>141</v>
      </c>
      <c r="C91" s="4" t="n">
        <v>2</v>
      </c>
      <c r="D91" s="5" t="n">
        <v>2860</v>
      </c>
      <c r="E91" s="5" t="n">
        <v>7200</v>
      </c>
      <c r="F91" s="5" t="n">
        <v>6263</v>
      </c>
      <c r="G91" s="5"/>
      <c r="H91" s="4"/>
      <c r="I91" s="4"/>
      <c r="J91" s="4"/>
      <c r="K91" s="6"/>
      <c r="L91" s="6"/>
      <c r="M91" s="4" t="s">
        <v>15</v>
      </c>
    </row>
    <row r="92" customFormat="false" ht="15" hidden="false" customHeight="true" outlineLevel="0" collapsed="false">
      <c r="A92" s="7" t="n">
        <v>93</v>
      </c>
      <c r="B92" s="7" t="s">
        <v>142</v>
      </c>
      <c r="C92" s="7" t="n">
        <v>2</v>
      </c>
      <c r="D92" s="8" t="n">
        <v>25350</v>
      </c>
      <c r="E92" s="8" t="n">
        <v>25350</v>
      </c>
      <c r="F92" s="8" t="n">
        <v>18100</v>
      </c>
      <c r="G92" s="8" t="n">
        <v>15500</v>
      </c>
      <c r="H92" s="7" t="n">
        <v>2</v>
      </c>
      <c r="I92" s="7" t="s">
        <v>18</v>
      </c>
      <c r="J92" s="7" t="s">
        <v>143</v>
      </c>
      <c r="K92" s="9" t="n">
        <f aca="false">IF(D92=0,"",G92/D92-1)</f>
        <v>-0.388560157790927</v>
      </c>
      <c r="L92" s="9" t="n">
        <f aca="false">IF(E92=0,"",G92/E92-1)</f>
        <v>-0.388560157790927</v>
      </c>
      <c r="M92" s="7" t="s">
        <v>20</v>
      </c>
    </row>
    <row r="93" customFormat="false" ht="15" hidden="false" customHeight="true" outlineLevel="0" collapsed="false">
      <c r="A93" s="7" t="n">
        <v>94</v>
      </c>
      <c r="B93" s="7" t="s">
        <v>144</v>
      </c>
      <c r="C93" s="7" t="n">
        <v>3</v>
      </c>
      <c r="D93" s="8" t="n">
        <v>8138</v>
      </c>
      <c r="E93" s="8" t="n">
        <v>18170</v>
      </c>
      <c r="F93" s="8" t="n">
        <v>15800</v>
      </c>
      <c r="G93" s="8" t="n">
        <v>13500</v>
      </c>
      <c r="H93" s="7" t="n">
        <v>3</v>
      </c>
      <c r="I93" s="7" t="s">
        <v>18</v>
      </c>
      <c r="J93" s="7" t="s">
        <v>145</v>
      </c>
      <c r="K93" s="9" t="n">
        <f aca="false">IF(D93=0,"",G93/D93-1)</f>
        <v>0.658884246743672</v>
      </c>
      <c r="L93" s="9" t="n">
        <f aca="false">IF(E93=0,"",G93/E93-1)</f>
        <v>-0.257017061089708</v>
      </c>
      <c r="M93" s="7" t="s">
        <v>20</v>
      </c>
    </row>
    <row r="94" customFormat="false" ht="15" hidden="false" customHeight="true" outlineLevel="0" collapsed="false">
      <c r="A94" s="7" t="n">
        <v>95</v>
      </c>
      <c r="B94" s="7" t="s">
        <v>146</v>
      </c>
      <c r="C94" s="7" t="n">
        <v>3</v>
      </c>
      <c r="D94" s="8" t="n">
        <v>6370</v>
      </c>
      <c r="E94" s="8" t="n">
        <v>9120</v>
      </c>
      <c r="F94" s="8" t="n">
        <v>7928</v>
      </c>
      <c r="G94" s="8" t="n">
        <v>7500</v>
      </c>
      <c r="H94" s="7" t="n">
        <v>3</v>
      </c>
      <c r="I94" s="7" t="s">
        <v>18</v>
      </c>
      <c r="J94" s="7" t="s">
        <v>147</v>
      </c>
      <c r="K94" s="9" t="n">
        <f aca="false">IF(D94=0,"",G94/D94-1)</f>
        <v>0.177394034536892</v>
      </c>
      <c r="L94" s="9" t="n">
        <f aca="false">IF(E94=0,"",G94/E94-1)</f>
        <v>-0.177631578947368</v>
      </c>
      <c r="M94" s="7" t="s">
        <v>20</v>
      </c>
    </row>
    <row r="95" customFormat="false" ht="15" hidden="false" customHeight="true" outlineLevel="0" collapsed="false">
      <c r="A95" s="10" t="n">
        <v>96</v>
      </c>
      <c r="B95" s="10" t="s">
        <v>148</v>
      </c>
      <c r="C95" s="10" t="n">
        <v>2</v>
      </c>
      <c r="D95" s="11" t="n">
        <v>14950</v>
      </c>
      <c r="E95" s="11" t="n">
        <v>32110</v>
      </c>
      <c r="F95" s="11" t="n">
        <v>27919</v>
      </c>
      <c r="G95" s="11" t="n">
        <v>30222</v>
      </c>
      <c r="H95" s="10" t="n">
        <v>2</v>
      </c>
      <c r="I95" s="10" t="s">
        <v>77</v>
      </c>
      <c r="J95" s="10" t="s">
        <v>149</v>
      </c>
      <c r="K95" s="12" t="n">
        <f aca="false">IF(D95=0,"",G95/D95-1)</f>
        <v>1.02153846153846</v>
      </c>
      <c r="L95" s="12" t="n">
        <f aca="false">IF(E95=0,"",G95/E95-1)</f>
        <v>-0.0587978822796637</v>
      </c>
      <c r="M95" s="10" t="s">
        <v>79</v>
      </c>
    </row>
    <row r="96" customFormat="false" ht="15" hidden="false" customHeight="true" outlineLevel="0" collapsed="false">
      <c r="A96" s="4" t="n">
        <v>97</v>
      </c>
      <c r="B96" s="4" t="s">
        <v>150</v>
      </c>
      <c r="C96" s="4" t="n">
        <v>2</v>
      </c>
      <c r="D96" s="5" t="n">
        <v>286000</v>
      </c>
      <c r="E96" s="5" t="n">
        <v>286000</v>
      </c>
      <c r="F96" s="5" t="n">
        <v>199500</v>
      </c>
      <c r="G96" s="5"/>
      <c r="H96" s="4"/>
      <c r="I96" s="4"/>
      <c r="J96" s="4"/>
      <c r="K96" s="6"/>
      <c r="L96" s="6"/>
      <c r="M96" s="4" t="s">
        <v>15</v>
      </c>
    </row>
    <row r="97" customFormat="false" ht="15" hidden="false" customHeight="true" outlineLevel="0" collapsed="false">
      <c r="A97" s="4" t="n">
        <v>98</v>
      </c>
      <c r="B97" s="4" t="s">
        <v>151</v>
      </c>
      <c r="C97" s="4" t="n">
        <v>1</v>
      </c>
      <c r="D97" s="5" t="n">
        <v>15600</v>
      </c>
      <c r="E97" s="5" t="n">
        <v>46200</v>
      </c>
      <c r="F97" s="5" t="n">
        <v>40172</v>
      </c>
      <c r="G97" s="5"/>
      <c r="H97" s="4"/>
      <c r="I97" s="4"/>
      <c r="J97" s="4"/>
      <c r="K97" s="6"/>
      <c r="L97" s="6"/>
      <c r="M97" s="4" t="s">
        <v>15</v>
      </c>
    </row>
    <row r="98" customFormat="false" ht="15" hidden="false" customHeight="true" outlineLevel="0" collapsed="false">
      <c r="A98" s="7" t="n">
        <v>99</v>
      </c>
      <c r="B98" s="7" t="s">
        <v>152</v>
      </c>
      <c r="C98" s="7" t="n">
        <v>1</v>
      </c>
      <c r="D98" s="8" t="n">
        <v>11050</v>
      </c>
      <c r="E98" s="8" t="n">
        <v>46200</v>
      </c>
      <c r="F98" s="8" t="n">
        <v>40172</v>
      </c>
      <c r="G98" s="8" t="n">
        <v>5500</v>
      </c>
      <c r="H98" s="7" t="n">
        <v>1</v>
      </c>
      <c r="I98" s="7" t="s">
        <v>18</v>
      </c>
      <c r="J98" s="7" t="s">
        <v>153</v>
      </c>
      <c r="K98" s="9" t="n">
        <f aca="false">IF(D98=0,"",G98/D98-1)</f>
        <v>-0.502262443438914</v>
      </c>
      <c r="L98" s="9" t="n">
        <f aca="false">IF(E98=0,"",G98/E98-1)</f>
        <v>-0.880952380952381</v>
      </c>
      <c r="M98" s="7" t="s">
        <v>20</v>
      </c>
    </row>
    <row r="99" customFormat="false" ht="15" hidden="false" customHeight="true" outlineLevel="0" collapsed="false">
      <c r="A99" s="7" t="n">
        <v>100</v>
      </c>
      <c r="B99" s="7" t="s">
        <v>154</v>
      </c>
      <c r="C99" s="7" t="n">
        <v>1</v>
      </c>
      <c r="D99" s="8" t="n">
        <v>9100</v>
      </c>
      <c r="E99" s="8" t="n">
        <v>25000</v>
      </c>
      <c r="F99" s="8" t="n">
        <v>21735</v>
      </c>
      <c r="G99" s="8" t="n">
        <v>3500</v>
      </c>
      <c r="H99" s="7" t="n">
        <v>1</v>
      </c>
      <c r="I99" s="7" t="s">
        <v>18</v>
      </c>
      <c r="J99" s="7" t="s">
        <v>155</v>
      </c>
      <c r="K99" s="9" t="n">
        <f aca="false">IF(D99=0,"",G99/D99-1)</f>
        <v>-0.615384615384615</v>
      </c>
      <c r="L99" s="9" t="n">
        <f aca="false">IF(E99=0,"",G99/E99-1)</f>
        <v>-0.86</v>
      </c>
      <c r="M99" s="7" t="s">
        <v>20</v>
      </c>
    </row>
    <row r="100" customFormat="false" ht="15" hidden="false" customHeight="true" outlineLevel="0" collapsed="false">
      <c r="A100" s="7" t="n">
        <v>101</v>
      </c>
      <c r="B100" s="7" t="s">
        <v>156</v>
      </c>
      <c r="C100" s="7" t="n">
        <v>3</v>
      </c>
      <c r="D100" s="8" t="n">
        <v>7150</v>
      </c>
      <c r="E100" s="8" t="n">
        <v>23210</v>
      </c>
      <c r="F100" s="8" t="n">
        <v>20180</v>
      </c>
      <c r="G100" s="8" t="n">
        <v>3000</v>
      </c>
      <c r="H100" s="7" t="n">
        <v>3</v>
      </c>
      <c r="I100" s="7" t="s">
        <v>18</v>
      </c>
      <c r="J100" s="7" t="s">
        <v>157</v>
      </c>
      <c r="K100" s="9" t="n">
        <f aca="false">IF(D100=0,"",G100/D100-1)</f>
        <v>-0.58041958041958</v>
      </c>
      <c r="L100" s="9" t="n">
        <f aca="false">IF(E100=0,"",G100/E100-1)</f>
        <v>-0.8707453683757</v>
      </c>
      <c r="M100" s="7" t="s">
        <v>20</v>
      </c>
    </row>
    <row r="101" customFormat="false" ht="15" hidden="false" customHeight="true" outlineLevel="0" collapsed="false">
      <c r="A101" s="7" t="n">
        <v>102</v>
      </c>
      <c r="B101" s="7" t="s">
        <v>158</v>
      </c>
      <c r="C101" s="7" t="n">
        <v>3</v>
      </c>
      <c r="D101" s="8" t="n">
        <v>5850</v>
      </c>
      <c r="E101" s="8" t="n">
        <v>18810</v>
      </c>
      <c r="F101" s="8" t="n">
        <v>16353</v>
      </c>
      <c r="G101" s="8" t="n">
        <v>2800</v>
      </c>
      <c r="H101" s="7" t="n">
        <v>3</v>
      </c>
      <c r="I101" s="7" t="s">
        <v>18</v>
      </c>
      <c r="J101" s="7" t="s">
        <v>159</v>
      </c>
      <c r="K101" s="9" t="n">
        <f aca="false">IF(D101=0,"",G101/D101-1)</f>
        <v>-0.521367521367521</v>
      </c>
      <c r="L101" s="9" t="n">
        <f aca="false">IF(E101=0,"",G101/E101-1)</f>
        <v>-0.851143009037746</v>
      </c>
      <c r="M101" s="7" t="s">
        <v>20</v>
      </c>
    </row>
    <row r="102" customFormat="false" ht="15" hidden="false" customHeight="true" outlineLevel="0" collapsed="false">
      <c r="A102" s="4" t="n">
        <v>103</v>
      </c>
      <c r="B102" s="4" t="s">
        <v>160</v>
      </c>
      <c r="C102" s="4" t="n">
        <v>12</v>
      </c>
      <c r="D102" s="5" t="n">
        <v>715</v>
      </c>
      <c r="E102" s="5" t="n">
        <v>715</v>
      </c>
      <c r="F102" s="5" t="n">
        <v>540</v>
      </c>
      <c r="G102" s="5"/>
      <c r="H102" s="4"/>
      <c r="I102" s="4"/>
      <c r="J102" s="4"/>
      <c r="K102" s="6"/>
      <c r="L102" s="6"/>
      <c r="M102" s="4" t="s">
        <v>15</v>
      </c>
    </row>
    <row r="103" customFormat="false" ht="15" hidden="false" customHeight="true" outlineLevel="0" collapsed="false">
      <c r="A103" s="7" t="n">
        <v>104</v>
      </c>
      <c r="B103" s="7" t="s">
        <v>161</v>
      </c>
      <c r="C103" s="7" t="n">
        <v>4</v>
      </c>
      <c r="D103" s="8" t="n">
        <v>1274</v>
      </c>
      <c r="E103" s="8" t="n">
        <v>7220</v>
      </c>
      <c r="F103" s="8" t="n">
        <v>6277</v>
      </c>
      <c r="G103" s="8" t="n">
        <v>4940</v>
      </c>
      <c r="H103" s="7" t="n">
        <v>4</v>
      </c>
      <c r="I103" s="7" t="s">
        <v>32</v>
      </c>
      <c r="J103" s="7" t="s">
        <v>162</v>
      </c>
      <c r="K103" s="9" t="n">
        <f aca="false">IF(D103=0,"",G103/D103-1)</f>
        <v>2.87755102040816</v>
      </c>
      <c r="L103" s="9" t="n">
        <f aca="false">IF(E103=0,"",G103/E103-1)</f>
        <v>-0.315789473684211</v>
      </c>
      <c r="M103" s="7" t="s">
        <v>20</v>
      </c>
    </row>
    <row r="104" customFormat="false" ht="15" hidden="false" customHeight="true" outlineLevel="0" collapsed="false">
      <c r="A104" s="4" t="n">
        <v>105</v>
      </c>
      <c r="B104" s="4" t="s">
        <v>163</v>
      </c>
      <c r="C104" s="4" t="n">
        <v>12</v>
      </c>
      <c r="D104" s="5" t="n">
        <v>1170</v>
      </c>
      <c r="E104" s="5" t="n">
        <v>1170</v>
      </c>
      <c r="F104" s="5" t="n">
        <v>800</v>
      </c>
      <c r="G104" s="5"/>
      <c r="H104" s="4"/>
      <c r="I104" s="4"/>
      <c r="J104" s="4"/>
      <c r="K104" s="6"/>
      <c r="L104" s="6"/>
      <c r="M104" s="4" t="s">
        <v>15</v>
      </c>
    </row>
    <row r="105" customFormat="false" ht="15" hidden="false" customHeight="true" outlineLevel="0" collapsed="false">
      <c r="A105" s="4" t="n">
        <v>106</v>
      </c>
      <c r="B105" s="4" t="s">
        <v>164</v>
      </c>
      <c r="C105" s="4" t="n">
        <v>6</v>
      </c>
      <c r="D105" s="5" t="n">
        <v>3640</v>
      </c>
      <c r="E105" s="5" t="n">
        <v>3640</v>
      </c>
      <c r="F105" s="5" t="n">
        <v>2420</v>
      </c>
      <c r="G105" s="5"/>
      <c r="H105" s="4"/>
      <c r="I105" s="4"/>
      <c r="J105" s="4"/>
      <c r="K105" s="6"/>
      <c r="L105" s="6"/>
      <c r="M105" s="4" t="s">
        <v>15</v>
      </c>
    </row>
    <row r="106" customFormat="false" ht="15" hidden="false" customHeight="true" outlineLevel="0" collapsed="false">
      <c r="A106" s="4" t="n">
        <v>107</v>
      </c>
      <c r="B106" s="4" t="s">
        <v>165</v>
      </c>
      <c r="C106" s="4" t="n">
        <v>6</v>
      </c>
      <c r="D106" s="5" t="n">
        <v>6760</v>
      </c>
      <c r="E106" s="5" t="n">
        <v>6760</v>
      </c>
      <c r="F106" s="5" t="n">
        <v>5226</v>
      </c>
      <c r="G106" s="5"/>
      <c r="H106" s="4"/>
      <c r="I106" s="4"/>
      <c r="J106" s="4"/>
      <c r="K106" s="6"/>
      <c r="L106" s="6"/>
      <c r="M106" s="4" t="s">
        <v>15</v>
      </c>
    </row>
    <row r="107" customFormat="false" ht="15" hidden="false" customHeight="true" outlineLevel="0" collapsed="false">
      <c r="A107" s="4" t="n">
        <v>108</v>
      </c>
      <c r="B107" s="4" t="s">
        <v>166</v>
      </c>
      <c r="C107" s="4" t="n">
        <v>3</v>
      </c>
      <c r="D107" s="5" t="n">
        <v>4550</v>
      </c>
      <c r="E107" s="5" t="n">
        <v>4550</v>
      </c>
      <c r="F107" s="5" t="n">
        <v>3350</v>
      </c>
      <c r="G107" s="5"/>
      <c r="H107" s="4"/>
      <c r="I107" s="4"/>
      <c r="J107" s="4"/>
      <c r="K107" s="6"/>
      <c r="L107" s="6"/>
      <c r="M107" s="4" t="s">
        <v>15</v>
      </c>
    </row>
    <row r="108" customFormat="false" ht="15" hidden="false" customHeight="true" outlineLevel="0" collapsed="false">
      <c r="A108" s="4" t="n">
        <v>109</v>
      </c>
      <c r="B108" s="4" t="s">
        <v>167</v>
      </c>
      <c r="C108" s="4" t="n">
        <v>6</v>
      </c>
      <c r="D108" s="5" t="n">
        <v>2340</v>
      </c>
      <c r="E108" s="5" t="n">
        <v>4200</v>
      </c>
      <c r="F108" s="5" t="n">
        <v>3651</v>
      </c>
      <c r="G108" s="5"/>
      <c r="H108" s="4"/>
      <c r="I108" s="4"/>
      <c r="J108" s="4"/>
      <c r="K108" s="6"/>
      <c r="L108" s="6"/>
      <c r="M108" s="4" t="s">
        <v>15</v>
      </c>
    </row>
    <row r="109" customFormat="false" ht="15" hidden="false" customHeight="true" outlineLevel="0" collapsed="false">
      <c r="A109" s="7" t="n">
        <v>110</v>
      </c>
      <c r="B109" s="7" t="s">
        <v>168</v>
      </c>
      <c r="C109" s="7" t="n">
        <v>3</v>
      </c>
      <c r="D109" s="8" t="n">
        <v>1820</v>
      </c>
      <c r="E109" s="8" t="n">
        <v>17710</v>
      </c>
      <c r="F109" s="8" t="n">
        <v>15399</v>
      </c>
      <c r="G109" s="8" t="n">
        <v>400</v>
      </c>
      <c r="H109" s="7" t="n">
        <v>3</v>
      </c>
      <c r="I109" s="7" t="s">
        <v>18</v>
      </c>
      <c r="J109" s="7" t="s">
        <v>169</v>
      </c>
      <c r="K109" s="9" t="n">
        <f aca="false">IF(D109=0,"",G109/D109-1)</f>
        <v>-0.78021978021978</v>
      </c>
      <c r="L109" s="9" t="n">
        <f aca="false">IF(E109=0,"",G109/E109-1)</f>
        <v>-0.977413890457369</v>
      </c>
      <c r="M109" s="7" t="s">
        <v>20</v>
      </c>
    </row>
    <row r="110" customFormat="false" ht="15" hidden="false" customHeight="true" outlineLevel="0" collapsed="false">
      <c r="A110" s="7" t="n">
        <v>111</v>
      </c>
      <c r="B110" s="7" t="s">
        <v>170</v>
      </c>
      <c r="C110" s="7" t="n">
        <v>3</v>
      </c>
      <c r="D110" s="8" t="n">
        <v>2860</v>
      </c>
      <c r="E110" s="8" t="n">
        <v>3590</v>
      </c>
      <c r="F110" s="8" t="n">
        <v>3125</v>
      </c>
      <c r="G110" s="8" t="n">
        <v>1750</v>
      </c>
      <c r="H110" s="7" t="n">
        <v>3</v>
      </c>
      <c r="I110" s="7" t="s">
        <v>18</v>
      </c>
      <c r="J110" s="7" t="s">
        <v>171</v>
      </c>
      <c r="K110" s="9" t="n">
        <f aca="false">IF(D110=0,"",G110/D110-1)</f>
        <v>-0.388111888111888</v>
      </c>
      <c r="L110" s="9" t="n">
        <f aca="false">IF(E110=0,"",G110/E110-1)</f>
        <v>-0.512534818941504</v>
      </c>
      <c r="M110" s="7" t="s">
        <v>20</v>
      </c>
    </row>
    <row r="111" customFormat="false" ht="15" hidden="false" customHeight="true" outlineLevel="0" collapsed="false">
      <c r="A111" s="10" t="n">
        <v>112</v>
      </c>
      <c r="B111" s="10" t="s">
        <v>172</v>
      </c>
      <c r="C111" s="10" t="n">
        <v>2</v>
      </c>
      <c r="D111" s="11" t="n">
        <v>12350</v>
      </c>
      <c r="E111" s="11" t="n">
        <v>12350</v>
      </c>
      <c r="F111" s="11" t="n">
        <v>8500</v>
      </c>
      <c r="G111" s="11" t="n">
        <v>8200</v>
      </c>
      <c r="H111" s="10" t="n">
        <v>2</v>
      </c>
      <c r="I111" s="10" t="s">
        <v>77</v>
      </c>
      <c r="J111" s="10" t="s">
        <v>173</v>
      </c>
      <c r="K111" s="12" t="n">
        <f aca="false">IF(D111=0,"",G111/D111-1)</f>
        <v>-0.336032388663968</v>
      </c>
      <c r="L111" s="12" t="n">
        <f aca="false">IF(E111=0,"",G111/E111-1)</f>
        <v>-0.336032388663968</v>
      </c>
      <c r="M111" s="10" t="s">
        <v>79</v>
      </c>
    </row>
    <row r="112" customFormat="false" ht="15" hidden="false" customHeight="true" outlineLevel="0" collapsed="false">
      <c r="A112" s="4" t="n">
        <v>113</v>
      </c>
      <c r="B112" s="4" t="s">
        <v>174</v>
      </c>
      <c r="C112" s="4" t="n">
        <v>3</v>
      </c>
      <c r="D112" s="5" t="n">
        <v>1560</v>
      </c>
      <c r="E112" s="5" t="n">
        <v>1840</v>
      </c>
      <c r="F112" s="5" t="n">
        <v>1600</v>
      </c>
      <c r="G112" s="5"/>
      <c r="H112" s="4"/>
      <c r="I112" s="4"/>
      <c r="J112" s="4"/>
      <c r="K112" s="6"/>
      <c r="L112" s="6"/>
      <c r="M112" s="4" t="s">
        <v>15</v>
      </c>
    </row>
    <row r="113" customFormat="false" ht="15" hidden="false" customHeight="true" outlineLevel="0" collapsed="false">
      <c r="A113" s="10" t="n">
        <v>114</v>
      </c>
      <c r="B113" s="10" t="s">
        <v>175</v>
      </c>
      <c r="C113" s="10" t="n">
        <v>3</v>
      </c>
      <c r="D113" s="11" t="n">
        <v>1950</v>
      </c>
      <c r="E113" s="11" t="n">
        <v>1950</v>
      </c>
      <c r="F113" s="11" t="n">
        <v>1600</v>
      </c>
      <c r="G113" s="11" t="n">
        <v>1794</v>
      </c>
      <c r="H113" s="10" t="n">
        <v>3</v>
      </c>
      <c r="I113" s="10" t="s">
        <v>77</v>
      </c>
      <c r="J113" s="10" t="s">
        <v>176</v>
      </c>
      <c r="K113" s="12" t="n">
        <f aca="false">IF(D113=0,"",G113/D113-1)</f>
        <v>-0.08</v>
      </c>
      <c r="L113" s="12" t="n">
        <f aca="false">IF(E113=0,"",G113/E113-1)</f>
        <v>-0.08</v>
      </c>
      <c r="M113" s="10" t="s">
        <v>79</v>
      </c>
    </row>
    <row r="114" customFormat="false" ht="15" hidden="false" customHeight="true" outlineLevel="0" collapsed="false">
      <c r="A114" s="7" t="n">
        <v>115</v>
      </c>
      <c r="B114" s="7" t="s">
        <v>177</v>
      </c>
      <c r="C114" s="7" t="n">
        <v>2</v>
      </c>
      <c r="D114" s="8" t="n">
        <v>11050</v>
      </c>
      <c r="E114" s="8" t="n">
        <v>6750</v>
      </c>
      <c r="F114" s="8" t="n">
        <v>5000</v>
      </c>
      <c r="G114" s="8" t="n">
        <v>8500</v>
      </c>
      <c r="H114" s="7" t="n">
        <v>2</v>
      </c>
      <c r="I114" s="7" t="s">
        <v>18</v>
      </c>
      <c r="J114" s="7" t="s">
        <v>178</v>
      </c>
      <c r="K114" s="9" t="n">
        <f aca="false">IF(D114=0,"",G114/D114-1)</f>
        <v>-0.230769230769231</v>
      </c>
      <c r="L114" s="9" t="n">
        <f aca="false">IF(E114=0,"",G114/E114-1)</f>
        <v>0.259259259259259</v>
      </c>
      <c r="M114" s="7" t="s">
        <v>20</v>
      </c>
    </row>
    <row r="115" customFormat="false" ht="15" hidden="false" customHeight="true" outlineLevel="0" collapsed="false">
      <c r="A115" s="4" t="n">
        <v>116</v>
      </c>
      <c r="B115" s="4" t="s">
        <v>179</v>
      </c>
      <c r="C115" s="4" t="n">
        <v>2</v>
      </c>
      <c r="D115" s="5" t="n">
        <v>11050</v>
      </c>
      <c r="E115" s="5" t="n">
        <v>13970</v>
      </c>
      <c r="F115" s="5" t="n">
        <v>12150</v>
      </c>
      <c r="G115" s="5"/>
      <c r="H115" s="4"/>
      <c r="I115" s="4"/>
      <c r="J115" s="4"/>
      <c r="K115" s="6"/>
      <c r="L115" s="6"/>
      <c r="M115" s="4" t="s">
        <v>15</v>
      </c>
    </row>
    <row r="116" customFormat="false" ht="15" hidden="false" customHeight="true" outlineLevel="0" collapsed="false">
      <c r="A116" s="4" t="n">
        <v>117</v>
      </c>
      <c r="B116" s="4" t="s">
        <v>180</v>
      </c>
      <c r="C116" s="4" t="n">
        <v>15</v>
      </c>
      <c r="D116" s="5" t="n">
        <v>585</v>
      </c>
      <c r="E116" s="5" t="n">
        <v>290</v>
      </c>
      <c r="F116" s="5" t="n">
        <v>216</v>
      </c>
      <c r="G116" s="5"/>
      <c r="H116" s="4"/>
      <c r="I116" s="4"/>
      <c r="J116" s="4"/>
      <c r="K116" s="6"/>
      <c r="L116" s="6"/>
      <c r="M116" s="4" t="s">
        <v>15</v>
      </c>
    </row>
    <row r="117" customFormat="false" ht="15" hidden="false" customHeight="true" outlineLevel="0" collapsed="false">
      <c r="A117" s="4" t="n">
        <v>118</v>
      </c>
      <c r="B117" s="4" t="s">
        <v>181</v>
      </c>
      <c r="C117" s="4" t="n">
        <v>15</v>
      </c>
      <c r="D117" s="5" t="n">
        <v>585</v>
      </c>
      <c r="E117" s="5" t="n">
        <v>290</v>
      </c>
      <c r="F117" s="5" t="n">
        <v>216</v>
      </c>
      <c r="G117" s="5"/>
      <c r="H117" s="4"/>
      <c r="I117" s="4"/>
      <c r="J117" s="4"/>
      <c r="K117" s="6"/>
      <c r="L117" s="6"/>
      <c r="M117" s="4" t="s">
        <v>15</v>
      </c>
    </row>
    <row r="118" customFormat="false" ht="15" hidden="false" customHeight="true" outlineLevel="0" collapsed="false">
      <c r="A118" s="4" t="n">
        <v>119</v>
      </c>
      <c r="B118" s="4" t="s">
        <v>182</v>
      </c>
      <c r="C118" s="4" t="n">
        <v>2</v>
      </c>
      <c r="D118" s="5" t="n">
        <v>910</v>
      </c>
      <c r="E118" s="5" t="n">
        <v>2580</v>
      </c>
      <c r="F118" s="5" t="n">
        <v>2243</v>
      </c>
      <c r="G118" s="5"/>
      <c r="H118" s="4"/>
      <c r="I118" s="4"/>
      <c r="J118" s="4"/>
      <c r="K118" s="6"/>
      <c r="L118" s="6"/>
      <c r="M118" s="4" t="s">
        <v>15</v>
      </c>
    </row>
    <row r="119" customFormat="false" ht="15" hidden="false" customHeight="true" outlineLevel="0" collapsed="false">
      <c r="A119" s="4" t="n">
        <v>120</v>
      </c>
      <c r="B119" s="4" t="s">
        <v>183</v>
      </c>
      <c r="C119" s="4" t="n">
        <v>6</v>
      </c>
      <c r="D119" s="5" t="n">
        <v>910</v>
      </c>
      <c r="E119" s="5" t="n">
        <v>670</v>
      </c>
      <c r="F119" s="5" t="n">
        <v>495</v>
      </c>
      <c r="G119" s="5"/>
      <c r="H119" s="4"/>
      <c r="I119" s="4"/>
      <c r="J119" s="4"/>
      <c r="K119" s="6"/>
      <c r="L119" s="6"/>
      <c r="M119" s="4" t="s">
        <v>15</v>
      </c>
    </row>
    <row r="120" customFormat="false" ht="15" hidden="false" customHeight="true" outlineLevel="0" collapsed="false">
      <c r="A120" s="4" t="n">
        <v>121</v>
      </c>
      <c r="B120" s="4" t="s">
        <v>184</v>
      </c>
      <c r="C120" s="4" t="n">
        <v>6</v>
      </c>
      <c r="D120" s="5" t="n">
        <v>637</v>
      </c>
      <c r="E120" s="5" t="n">
        <v>690</v>
      </c>
      <c r="F120" s="5" t="n">
        <v>600</v>
      </c>
      <c r="G120" s="5"/>
      <c r="H120" s="4"/>
      <c r="I120" s="4"/>
      <c r="J120" s="4"/>
      <c r="K120" s="6"/>
      <c r="L120" s="6"/>
      <c r="M120" s="4" t="s">
        <v>15</v>
      </c>
    </row>
    <row r="121" customFormat="false" ht="15" hidden="false" customHeight="true" outlineLevel="0" collapsed="false">
      <c r="A121" s="7" t="n">
        <v>122</v>
      </c>
      <c r="B121" s="7" t="s">
        <v>185</v>
      </c>
      <c r="C121" s="7" t="n">
        <v>1</v>
      </c>
      <c r="D121" s="8" t="n">
        <v>357500</v>
      </c>
      <c r="E121" s="8" t="n">
        <v>170100</v>
      </c>
      <c r="F121" s="8" t="n">
        <v>126000</v>
      </c>
      <c r="G121" s="8" t="n">
        <v>36000</v>
      </c>
      <c r="H121" s="7" t="n">
        <v>1</v>
      </c>
      <c r="I121" s="7" t="s">
        <v>18</v>
      </c>
      <c r="J121" s="7" t="s">
        <v>186</v>
      </c>
      <c r="K121" s="9" t="n">
        <f aca="false">IF(D121=0,"",G121/D121-1)</f>
        <v>-0.899300699300699</v>
      </c>
      <c r="L121" s="9" t="n">
        <f aca="false">IF(E121=0,"",G121/E121-1)</f>
        <v>-0.788359788359788</v>
      </c>
      <c r="M121" s="7" t="s">
        <v>20</v>
      </c>
    </row>
    <row r="122" customFormat="false" ht="15" hidden="false" customHeight="true" outlineLevel="0" collapsed="false">
      <c r="A122" s="7" t="n">
        <v>123</v>
      </c>
      <c r="B122" s="7" t="s">
        <v>187</v>
      </c>
      <c r="C122" s="7" t="n">
        <v>2</v>
      </c>
      <c r="D122" s="8" t="n">
        <v>23400</v>
      </c>
      <c r="E122" s="8" t="n">
        <v>28810</v>
      </c>
      <c r="F122" s="8" t="n">
        <v>25052</v>
      </c>
      <c r="G122" s="8" t="n">
        <v>9500</v>
      </c>
      <c r="H122" s="7" t="n">
        <v>2</v>
      </c>
      <c r="I122" s="7" t="s">
        <v>18</v>
      </c>
      <c r="J122" s="7" t="s">
        <v>188</v>
      </c>
      <c r="K122" s="9" t="n">
        <f aca="false">IF(D122=0,"",G122/D122-1)</f>
        <v>-0.594017094017094</v>
      </c>
      <c r="L122" s="9" t="n">
        <f aca="false">IF(E122=0,"",G122/E122-1)</f>
        <v>-0.670253384241583</v>
      </c>
      <c r="M122" s="7" t="s">
        <v>20</v>
      </c>
    </row>
    <row r="123" customFormat="false" ht="15" hidden="false" customHeight="true" outlineLevel="0" collapsed="false">
      <c r="A123" s="4" t="n">
        <v>124</v>
      </c>
      <c r="B123" s="4" t="s">
        <v>189</v>
      </c>
      <c r="C123" s="4" t="n">
        <v>2</v>
      </c>
      <c r="D123" s="5" t="n">
        <v>4550</v>
      </c>
      <c r="E123" s="5" t="n">
        <v>7980</v>
      </c>
      <c r="F123" s="5" t="n">
        <v>6941</v>
      </c>
      <c r="G123" s="5"/>
      <c r="H123" s="4"/>
      <c r="I123" s="4"/>
      <c r="J123" s="4"/>
      <c r="K123" s="6"/>
      <c r="L123" s="6"/>
      <c r="M123" s="4" t="s">
        <v>15</v>
      </c>
    </row>
    <row r="124" customFormat="false" ht="15" hidden="false" customHeight="true" outlineLevel="0" collapsed="false">
      <c r="A124" s="4" t="n">
        <v>125</v>
      </c>
      <c r="B124" s="4" t="s">
        <v>190</v>
      </c>
      <c r="C124" s="4" t="n">
        <v>12</v>
      </c>
      <c r="D124" s="5" t="n">
        <v>585</v>
      </c>
      <c r="E124" s="5" t="n">
        <v>950</v>
      </c>
      <c r="F124" s="5" t="n">
        <v>826</v>
      </c>
      <c r="G124" s="5"/>
      <c r="H124" s="4"/>
      <c r="I124" s="4"/>
      <c r="J124" s="4"/>
      <c r="K124" s="6"/>
      <c r="L124" s="6"/>
      <c r="M124" s="4" t="s">
        <v>15</v>
      </c>
    </row>
    <row r="125" customFormat="false" ht="15" hidden="false" customHeight="true" outlineLevel="0" collapsed="false">
      <c r="A125" s="7" t="n">
        <v>126</v>
      </c>
      <c r="B125" s="7" t="s">
        <v>191</v>
      </c>
      <c r="C125" s="7" t="n">
        <v>12</v>
      </c>
      <c r="D125" s="8" t="n">
        <v>780</v>
      </c>
      <c r="E125" s="8" t="n">
        <v>880</v>
      </c>
      <c r="F125" s="8" t="n">
        <v>767</v>
      </c>
      <c r="G125" s="8" t="n">
        <v>200</v>
      </c>
      <c r="H125" s="7" t="n">
        <v>12</v>
      </c>
      <c r="I125" s="7" t="s">
        <v>18</v>
      </c>
      <c r="J125" s="7" t="s">
        <v>192</v>
      </c>
      <c r="K125" s="9" t="n">
        <f aca="false">IF(D125=0,"",G125/D125-1)</f>
        <v>-0.743589743589744</v>
      </c>
      <c r="L125" s="9" t="n">
        <f aca="false">IF(E125=0,"",G125/E125-1)</f>
        <v>-0.772727272727273</v>
      </c>
      <c r="M125" s="7" t="s">
        <v>20</v>
      </c>
    </row>
    <row r="126" customFormat="false" ht="15" hidden="false" customHeight="true" outlineLevel="0" collapsed="false">
      <c r="A126" s="4" t="n">
        <v>127</v>
      </c>
      <c r="B126" s="4" t="s">
        <v>193</v>
      </c>
      <c r="C126" s="4" t="n">
        <v>6</v>
      </c>
      <c r="D126" s="5" t="n">
        <v>455</v>
      </c>
      <c r="E126" s="5" t="n">
        <v>460</v>
      </c>
      <c r="F126" s="5" t="n">
        <v>397</v>
      </c>
      <c r="G126" s="5"/>
      <c r="H126" s="4"/>
      <c r="I126" s="4"/>
      <c r="J126" s="4"/>
      <c r="K126" s="6"/>
      <c r="L126" s="6"/>
      <c r="M126" s="4" t="s">
        <v>15</v>
      </c>
    </row>
    <row r="127" customFormat="false" ht="15" hidden="false" customHeight="true" outlineLevel="0" collapsed="false">
      <c r="A127" s="4" t="n">
        <v>128</v>
      </c>
      <c r="B127" s="4" t="s">
        <v>194</v>
      </c>
      <c r="C127" s="4" t="n">
        <v>6</v>
      </c>
      <c r="D127" s="5" t="n">
        <v>455</v>
      </c>
      <c r="E127" s="5" t="n">
        <v>460</v>
      </c>
      <c r="F127" s="5" t="n">
        <v>397</v>
      </c>
      <c r="G127" s="5"/>
      <c r="H127" s="4"/>
      <c r="I127" s="4"/>
      <c r="J127" s="4"/>
      <c r="K127" s="6"/>
      <c r="L127" s="6"/>
      <c r="M127" s="4" t="s">
        <v>15</v>
      </c>
    </row>
    <row r="128" customFormat="false" ht="15" hidden="false" customHeight="true" outlineLevel="0" collapsed="false">
      <c r="A128" s="4" t="n">
        <v>129</v>
      </c>
      <c r="B128" s="4" t="s">
        <v>195</v>
      </c>
      <c r="C128" s="4" t="n">
        <v>6</v>
      </c>
      <c r="D128" s="5" t="n">
        <v>455</v>
      </c>
      <c r="E128" s="5" t="n">
        <v>460</v>
      </c>
      <c r="F128" s="5" t="n">
        <v>397</v>
      </c>
      <c r="G128" s="5"/>
      <c r="H128" s="4"/>
      <c r="I128" s="4"/>
      <c r="J128" s="4"/>
      <c r="K128" s="6"/>
      <c r="L128" s="6"/>
      <c r="M128" s="4" t="s">
        <v>15</v>
      </c>
    </row>
    <row r="129" customFormat="false" ht="15" hidden="false" customHeight="true" outlineLevel="0" collapsed="false">
      <c r="A129" s="7" t="n">
        <v>130</v>
      </c>
      <c r="B129" s="7" t="s">
        <v>196</v>
      </c>
      <c r="C129" s="7" t="n">
        <v>6</v>
      </c>
      <c r="D129" s="8" t="n">
        <v>2340</v>
      </c>
      <c r="E129" s="8" t="n">
        <v>7500</v>
      </c>
      <c r="F129" s="8" t="n">
        <v>6521</v>
      </c>
      <c r="G129" s="8" t="n">
        <v>1550</v>
      </c>
      <c r="H129" s="7" t="n">
        <v>6</v>
      </c>
      <c r="I129" s="7" t="s">
        <v>18</v>
      </c>
      <c r="J129" s="7" t="s">
        <v>197</v>
      </c>
      <c r="K129" s="9" t="n">
        <f aca="false">IF(D129=0,"",G129/D129-1)</f>
        <v>-0.337606837606838</v>
      </c>
      <c r="L129" s="9" t="n">
        <f aca="false">IF(E129=0,"",G129/E129-1)</f>
        <v>-0.793333333333333</v>
      </c>
      <c r="M129" s="7" t="s">
        <v>20</v>
      </c>
    </row>
    <row r="130" customFormat="false" ht="15" hidden="false" customHeight="true" outlineLevel="0" collapsed="false">
      <c r="A130" s="4" t="n">
        <v>131</v>
      </c>
      <c r="B130" s="4" t="s">
        <v>198</v>
      </c>
      <c r="C130" s="4" t="n">
        <v>2</v>
      </c>
      <c r="D130" s="5" t="n">
        <v>7800</v>
      </c>
      <c r="E130" s="5" t="n">
        <v>7800</v>
      </c>
      <c r="F130" s="5" t="n">
        <v>5000</v>
      </c>
      <c r="G130" s="5"/>
      <c r="H130" s="4"/>
      <c r="I130" s="4"/>
      <c r="J130" s="4"/>
      <c r="K130" s="6"/>
      <c r="L130" s="6"/>
      <c r="M130" s="4" t="s">
        <v>15</v>
      </c>
    </row>
    <row r="131" customFormat="false" ht="15" hidden="false" customHeight="true" outlineLevel="0" collapsed="false">
      <c r="A131" s="4" t="n">
        <v>132</v>
      </c>
      <c r="B131" s="4" t="s">
        <v>199</v>
      </c>
      <c r="C131" s="4" t="n">
        <v>10</v>
      </c>
      <c r="D131" s="5" t="n">
        <v>455</v>
      </c>
      <c r="E131" s="5" t="n">
        <v>290</v>
      </c>
      <c r="F131" s="5" t="n">
        <v>216</v>
      </c>
      <c r="G131" s="5"/>
      <c r="H131" s="4"/>
      <c r="I131" s="4"/>
      <c r="J131" s="4"/>
      <c r="K131" s="6"/>
      <c r="L131" s="6"/>
      <c r="M131" s="4" t="s">
        <v>15</v>
      </c>
    </row>
    <row r="132" customFormat="false" ht="15" hidden="false" customHeight="true" outlineLevel="0" collapsed="false">
      <c r="A132" s="4" t="n">
        <v>133</v>
      </c>
      <c r="B132" s="4" t="s">
        <v>200</v>
      </c>
      <c r="C132" s="4" t="n">
        <v>6</v>
      </c>
      <c r="D132" s="5" t="n">
        <v>650</v>
      </c>
      <c r="E132" s="5" t="n">
        <v>460</v>
      </c>
      <c r="F132" s="5" t="n">
        <v>338</v>
      </c>
      <c r="G132" s="5"/>
      <c r="H132" s="4"/>
      <c r="I132" s="4"/>
      <c r="J132" s="4"/>
      <c r="K132" s="6"/>
      <c r="L132" s="6"/>
      <c r="M132" s="4" t="s">
        <v>15</v>
      </c>
    </row>
    <row r="133" customFormat="false" ht="15" hidden="false" customHeight="true" outlineLevel="0" collapsed="false">
      <c r="A133" s="4" t="n">
        <v>134</v>
      </c>
      <c r="B133" s="4" t="s">
        <v>201</v>
      </c>
      <c r="C133" s="4" t="n">
        <v>6</v>
      </c>
      <c r="D133" s="5" t="n">
        <v>1040</v>
      </c>
      <c r="E133" s="5" t="n">
        <v>1290</v>
      </c>
      <c r="F133" s="5" t="n">
        <v>1125</v>
      </c>
      <c r="G133" s="5"/>
      <c r="H133" s="4"/>
      <c r="I133" s="4"/>
      <c r="J133" s="4"/>
      <c r="K133" s="6"/>
      <c r="L133" s="6"/>
      <c r="M133" s="4" t="s">
        <v>15</v>
      </c>
    </row>
    <row r="134" customFormat="false" ht="15" hidden="false" customHeight="true" outlineLevel="0" collapsed="false">
      <c r="A134" s="4" t="n">
        <v>135</v>
      </c>
      <c r="B134" s="4" t="s">
        <v>202</v>
      </c>
      <c r="C134" s="4" t="n">
        <v>6</v>
      </c>
      <c r="D134" s="5" t="n">
        <v>2860</v>
      </c>
      <c r="E134" s="5" t="n">
        <v>1340</v>
      </c>
      <c r="F134" s="5" t="n">
        <v>990</v>
      </c>
      <c r="G134" s="5"/>
      <c r="H134" s="4"/>
      <c r="I134" s="4"/>
      <c r="J134" s="4"/>
      <c r="K134" s="6"/>
      <c r="L134" s="6"/>
      <c r="M134" s="4" t="s">
        <v>15</v>
      </c>
    </row>
    <row r="135" customFormat="false" ht="15" hidden="false" customHeight="true" outlineLevel="0" collapsed="false">
      <c r="A135" s="4" t="n">
        <v>136</v>
      </c>
      <c r="B135" s="4" t="s">
        <v>203</v>
      </c>
      <c r="C135" s="4" t="n">
        <v>500</v>
      </c>
      <c r="D135" s="5" t="n">
        <v>130</v>
      </c>
      <c r="E135" s="5" t="n">
        <v>310</v>
      </c>
      <c r="F135" s="5" t="n">
        <v>270</v>
      </c>
      <c r="G135" s="5"/>
      <c r="H135" s="4"/>
      <c r="I135" s="4"/>
      <c r="J135" s="4"/>
      <c r="K135" s="6"/>
      <c r="L135" s="6"/>
      <c r="M135" s="4" t="s">
        <v>15</v>
      </c>
    </row>
    <row r="136" customFormat="false" ht="15" hidden="false" customHeight="true" outlineLevel="0" collapsed="false">
      <c r="A136" s="4" t="n">
        <v>138</v>
      </c>
      <c r="B136" s="4" t="s">
        <v>204</v>
      </c>
      <c r="C136" s="4" t="n">
        <v>24</v>
      </c>
      <c r="D136" s="5" t="n">
        <v>1170</v>
      </c>
      <c r="E136" s="5" t="n">
        <v>800</v>
      </c>
      <c r="F136" s="5" t="n">
        <v>590</v>
      </c>
      <c r="G136" s="5"/>
      <c r="H136" s="4"/>
      <c r="I136" s="4"/>
      <c r="J136" s="4"/>
      <c r="K136" s="6"/>
      <c r="L136" s="6"/>
      <c r="M136" s="4" t="s">
        <v>15</v>
      </c>
    </row>
    <row r="137" customFormat="false" ht="15" hidden="false" customHeight="true" outlineLevel="0" collapsed="false">
      <c r="A137" s="4" t="n">
        <v>139</v>
      </c>
      <c r="B137" s="4" t="s">
        <v>205</v>
      </c>
      <c r="C137" s="4" t="n">
        <v>24</v>
      </c>
      <c r="D137" s="5" t="n">
        <v>715</v>
      </c>
      <c r="E137" s="5" t="n">
        <v>930</v>
      </c>
      <c r="F137" s="5" t="n">
        <v>812</v>
      </c>
      <c r="G137" s="5"/>
      <c r="H137" s="4"/>
      <c r="I137" s="4"/>
      <c r="J137" s="4"/>
      <c r="K137" s="6"/>
      <c r="L137" s="6"/>
      <c r="M137" s="4" t="s">
        <v>15</v>
      </c>
    </row>
    <row r="138" customFormat="false" ht="15" hidden="false" customHeight="true" outlineLevel="0" collapsed="false">
      <c r="A138" s="7" t="n">
        <v>140</v>
      </c>
      <c r="B138" s="7" t="s">
        <v>206</v>
      </c>
      <c r="C138" s="7" t="n">
        <v>24</v>
      </c>
      <c r="D138" s="8" t="n">
        <v>1560</v>
      </c>
      <c r="E138" s="8" t="n">
        <v>6470</v>
      </c>
      <c r="F138" s="8" t="n">
        <v>5629</v>
      </c>
      <c r="G138" s="8" t="n">
        <v>550</v>
      </c>
      <c r="H138" s="7" t="n">
        <v>24</v>
      </c>
      <c r="I138" s="7" t="s">
        <v>18</v>
      </c>
      <c r="J138" s="7" t="s">
        <v>207</v>
      </c>
      <c r="K138" s="9" t="n">
        <f aca="false">IF(D138=0,"",G138/D138-1)</f>
        <v>-0.647435897435897</v>
      </c>
      <c r="L138" s="9" t="n">
        <f aca="false">IF(E138=0,"",G138/E138-1)</f>
        <v>-0.91499227202473</v>
      </c>
      <c r="M138" s="7" t="s">
        <v>20</v>
      </c>
    </row>
    <row r="139" customFormat="false" ht="15" hidden="false" customHeight="true" outlineLevel="0" collapsed="false">
      <c r="A139" s="4" t="n">
        <v>142</v>
      </c>
      <c r="B139" s="4" t="s">
        <v>208</v>
      </c>
      <c r="C139" s="4" t="n">
        <v>3</v>
      </c>
      <c r="D139" s="5" t="n">
        <v>7150</v>
      </c>
      <c r="E139" s="5" t="n">
        <v>7150</v>
      </c>
      <c r="F139" s="5" t="n">
        <v>4680</v>
      </c>
      <c r="G139" s="5"/>
      <c r="H139" s="4"/>
      <c r="I139" s="4"/>
      <c r="J139" s="4"/>
      <c r="K139" s="6"/>
      <c r="L139" s="6"/>
      <c r="M139" s="4" t="s">
        <v>15</v>
      </c>
    </row>
    <row r="140" customFormat="false" ht="15" hidden="false" customHeight="true" outlineLevel="0" collapsed="false">
      <c r="A140" s="7" t="n">
        <v>143</v>
      </c>
      <c r="B140" s="7" t="s">
        <v>209</v>
      </c>
      <c r="C140" s="7" t="n">
        <v>3</v>
      </c>
      <c r="D140" s="8" t="n">
        <v>7150</v>
      </c>
      <c r="E140" s="8" t="n">
        <v>7150</v>
      </c>
      <c r="F140" s="8" t="n">
        <v>4680</v>
      </c>
      <c r="G140" s="8" t="n">
        <v>4000</v>
      </c>
      <c r="H140" s="7" t="n">
        <v>3</v>
      </c>
      <c r="I140" s="7" t="s">
        <v>18</v>
      </c>
      <c r="J140" s="7" t="s">
        <v>210</v>
      </c>
      <c r="K140" s="9" t="n">
        <f aca="false">IF(D140=0,"",G140/D140-1)</f>
        <v>-0.440559440559441</v>
      </c>
      <c r="L140" s="9" t="n">
        <f aca="false">IF(E140=0,"",G140/E140-1)</f>
        <v>-0.440559440559441</v>
      </c>
      <c r="M140" s="7" t="s">
        <v>20</v>
      </c>
    </row>
    <row r="141" customFormat="false" ht="15" hidden="false" customHeight="true" outlineLevel="0" collapsed="false">
      <c r="A141" s="7" t="n">
        <v>144</v>
      </c>
      <c r="B141" s="7" t="s">
        <v>211</v>
      </c>
      <c r="C141" s="7" t="n">
        <v>3</v>
      </c>
      <c r="D141" s="8" t="n">
        <v>8450</v>
      </c>
      <c r="E141" s="8" t="n">
        <v>24000</v>
      </c>
      <c r="F141" s="8" t="n">
        <v>20866</v>
      </c>
      <c r="G141" s="8" t="n">
        <v>4000</v>
      </c>
      <c r="H141" s="7" t="n">
        <v>3</v>
      </c>
      <c r="I141" s="7" t="s">
        <v>18</v>
      </c>
      <c r="J141" s="7" t="s">
        <v>212</v>
      </c>
      <c r="K141" s="9" t="n">
        <f aca="false">IF(D141=0,"",G141/D141-1)</f>
        <v>-0.526627218934911</v>
      </c>
      <c r="L141" s="9" t="n">
        <f aca="false">IF(E141=0,"",G141/E141-1)</f>
        <v>-0.833333333333333</v>
      </c>
      <c r="M141" s="7" t="s">
        <v>20</v>
      </c>
    </row>
    <row r="142" customFormat="false" ht="15" hidden="false" customHeight="true" outlineLevel="0" collapsed="false">
      <c r="A142" s="4" t="n">
        <v>145</v>
      </c>
      <c r="B142" s="4" t="s">
        <v>213</v>
      </c>
      <c r="C142" s="4" t="n">
        <v>500</v>
      </c>
      <c r="D142" s="5" t="n">
        <v>104</v>
      </c>
      <c r="E142" s="5" t="n">
        <v>20</v>
      </c>
      <c r="F142" s="5" t="n">
        <v>14</v>
      </c>
      <c r="G142" s="5"/>
      <c r="H142" s="4"/>
      <c r="I142" s="4"/>
      <c r="J142" s="4"/>
      <c r="K142" s="6"/>
      <c r="L142" s="6"/>
      <c r="M142" s="4" t="s">
        <v>15</v>
      </c>
    </row>
    <row r="143" customFormat="false" ht="15" hidden="false" customHeight="true" outlineLevel="0" collapsed="false">
      <c r="A143" s="7" t="n">
        <v>146</v>
      </c>
      <c r="B143" s="7" t="s">
        <v>214</v>
      </c>
      <c r="C143" s="7" t="n">
        <v>1</v>
      </c>
      <c r="D143" s="8" t="n">
        <v>105788</v>
      </c>
      <c r="E143" s="8" t="n">
        <v>105788</v>
      </c>
      <c r="F143" s="8" t="n">
        <v>82000</v>
      </c>
      <c r="G143" s="8" t="n">
        <v>9000</v>
      </c>
      <c r="H143" s="7" t="n">
        <v>1</v>
      </c>
      <c r="I143" s="7" t="s">
        <v>18</v>
      </c>
      <c r="J143" s="7" t="s">
        <v>215</v>
      </c>
      <c r="K143" s="9" t="n">
        <f aca="false">IF(D143=0,"",G143/D143-1)</f>
        <v>-0.914924187998639</v>
      </c>
      <c r="L143" s="9" t="n">
        <f aca="false">IF(E143=0,"",G143/E143-1)</f>
        <v>-0.914924187998639</v>
      </c>
      <c r="M143" s="7" t="s">
        <v>20</v>
      </c>
    </row>
    <row r="144" customFormat="false" ht="15" hidden="false" customHeight="true" outlineLevel="0" collapsed="false">
      <c r="A144" s="7" t="n">
        <v>147</v>
      </c>
      <c r="B144" s="7" t="s">
        <v>216</v>
      </c>
      <c r="C144" s="7" t="n">
        <v>1</v>
      </c>
      <c r="D144" s="8" t="n">
        <v>245700</v>
      </c>
      <c r="E144" s="8" t="n">
        <v>258750</v>
      </c>
      <c r="F144" s="8" t="n">
        <v>225000</v>
      </c>
      <c r="G144" s="8" t="n">
        <v>120000</v>
      </c>
      <c r="H144" s="7" t="n">
        <v>1</v>
      </c>
      <c r="I144" s="7" t="s">
        <v>18</v>
      </c>
      <c r="J144" s="7" t="s">
        <v>217</v>
      </c>
      <c r="K144" s="9" t="n">
        <f aca="false">IF(D144=0,"",G144/D144-1)</f>
        <v>-0.511599511599512</v>
      </c>
      <c r="L144" s="9" t="n">
        <f aca="false">IF(E144=0,"",G144/E144-1)</f>
        <v>-0.536231884057971</v>
      </c>
      <c r="M144" s="7" t="s">
        <v>20</v>
      </c>
    </row>
    <row r="145" customFormat="false" ht="15" hidden="false" customHeight="true" outlineLevel="0" collapsed="false">
      <c r="A145" s="4" t="n">
        <v>148</v>
      </c>
      <c r="B145" s="4" t="s">
        <v>218</v>
      </c>
      <c r="C145" s="4" t="n">
        <v>12</v>
      </c>
      <c r="D145" s="5" t="n">
        <v>650</v>
      </c>
      <c r="E145" s="5" t="n">
        <v>490</v>
      </c>
      <c r="F145" s="5" t="n">
        <v>360</v>
      </c>
      <c r="G145" s="5"/>
      <c r="H145" s="4"/>
      <c r="I145" s="4"/>
      <c r="J145" s="4"/>
      <c r="K145" s="6"/>
      <c r="L145" s="6"/>
      <c r="M145" s="4" t="s">
        <v>15</v>
      </c>
    </row>
    <row r="146" customFormat="false" ht="15" hidden="false" customHeight="true" outlineLevel="0" collapsed="false">
      <c r="A146" s="10" t="n">
        <v>149</v>
      </c>
      <c r="B146" s="10" t="s">
        <v>219</v>
      </c>
      <c r="C146" s="10" t="n">
        <v>100</v>
      </c>
      <c r="D146" s="11" t="n">
        <v>1754</v>
      </c>
      <c r="E146" s="11" t="n">
        <v>1754</v>
      </c>
      <c r="F146" s="11" t="n">
        <v>1380</v>
      </c>
      <c r="G146" s="11" t="n">
        <v>1614</v>
      </c>
      <c r="H146" s="10" t="n">
        <v>100</v>
      </c>
      <c r="I146" s="10" t="s">
        <v>77</v>
      </c>
      <c r="J146" s="10" t="s">
        <v>220</v>
      </c>
      <c r="K146" s="12" t="n">
        <f aca="false">IF(D146=0,"",G146/D146-1)</f>
        <v>-0.0798175598631699</v>
      </c>
      <c r="L146" s="12" t="n">
        <f aca="false">IF(E146=0,"",G146/E146-1)</f>
        <v>-0.0798175598631699</v>
      </c>
      <c r="M146" s="10" t="s">
        <v>79</v>
      </c>
    </row>
    <row r="147" customFormat="false" ht="15" hidden="false" customHeight="true" outlineLevel="0" collapsed="false">
      <c r="A147" s="7" t="n">
        <v>150</v>
      </c>
      <c r="B147" s="7" t="s">
        <v>221</v>
      </c>
      <c r="C147" s="7" t="n">
        <v>100</v>
      </c>
      <c r="D147" s="8" t="n">
        <v>1235</v>
      </c>
      <c r="E147" s="8" t="n">
        <v>1235</v>
      </c>
      <c r="F147" s="8" t="n">
        <v>900</v>
      </c>
      <c r="G147" s="8" t="n">
        <v>480</v>
      </c>
      <c r="H147" s="7" t="n">
        <v>100</v>
      </c>
      <c r="I147" s="7" t="s">
        <v>18</v>
      </c>
      <c r="J147" s="7" t="s">
        <v>222</v>
      </c>
      <c r="K147" s="9" t="n">
        <f aca="false">IF(D147=0,"",G147/D147-1)</f>
        <v>-0.611336032388664</v>
      </c>
      <c r="L147" s="9" t="n">
        <f aca="false">IF(E147=0,"",G147/E147-1)</f>
        <v>-0.611336032388664</v>
      </c>
      <c r="M147" s="7" t="s">
        <v>20</v>
      </c>
    </row>
    <row r="148" customFormat="false" ht="15" hidden="false" customHeight="true" outlineLevel="0" collapsed="false">
      <c r="A148" s="7" t="n">
        <v>151</v>
      </c>
      <c r="B148" s="7" t="s">
        <v>223</v>
      </c>
      <c r="C148" s="7" t="n">
        <v>100</v>
      </c>
      <c r="D148" s="8" t="n">
        <v>650</v>
      </c>
      <c r="E148" s="8" t="n">
        <v>680</v>
      </c>
      <c r="F148" s="8" t="n">
        <v>590</v>
      </c>
      <c r="G148" s="8" t="n">
        <v>230</v>
      </c>
      <c r="H148" s="7" t="n">
        <v>100</v>
      </c>
      <c r="I148" s="7" t="s">
        <v>18</v>
      </c>
      <c r="J148" s="7" t="s">
        <v>224</v>
      </c>
      <c r="K148" s="9" t="n">
        <f aca="false">IF(D148=0,"",G148/D148-1)</f>
        <v>-0.646153846153846</v>
      </c>
      <c r="L148" s="9" t="n">
        <f aca="false">IF(E148=0,"",G148/E148-1)</f>
        <v>-0.661764705882353</v>
      </c>
      <c r="M148" s="7" t="s">
        <v>20</v>
      </c>
    </row>
    <row r="149" customFormat="false" ht="15" hidden="false" customHeight="true" outlineLevel="0" collapsed="false">
      <c r="A149" s="4" t="n">
        <v>152</v>
      </c>
      <c r="B149" s="4" t="s">
        <v>225</v>
      </c>
      <c r="C149" s="4" t="n">
        <v>24</v>
      </c>
      <c r="D149" s="5" t="n">
        <v>546</v>
      </c>
      <c r="E149" s="5" t="n">
        <v>630</v>
      </c>
      <c r="F149" s="5" t="n">
        <v>550</v>
      </c>
      <c r="G149" s="5"/>
      <c r="H149" s="4"/>
      <c r="I149" s="4"/>
      <c r="J149" s="4"/>
      <c r="K149" s="6"/>
      <c r="L149" s="6"/>
      <c r="M149" s="4" t="s">
        <v>15</v>
      </c>
    </row>
    <row r="150" customFormat="false" ht="15" hidden="false" customHeight="true" outlineLevel="0" collapsed="false">
      <c r="A150" s="4" t="n">
        <v>153</v>
      </c>
      <c r="B150" s="4" t="s">
        <v>226</v>
      </c>
      <c r="C150" s="4" t="n">
        <v>24</v>
      </c>
      <c r="D150" s="5" t="n">
        <v>1105</v>
      </c>
      <c r="E150" s="5" t="n">
        <v>1105</v>
      </c>
      <c r="F150" s="5" t="n">
        <v>730</v>
      </c>
      <c r="G150" s="5"/>
      <c r="H150" s="4"/>
      <c r="I150" s="4"/>
      <c r="J150" s="4"/>
      <c r="K150" s="6"/>
      <c r="L150" s="6"/>
      <c r="M150" s="4" t="s">
        <v>15</v>
      </c>
    </row>
    <row r="151" customFormat="false" ht="15" hidden="false" customHeight="true" outlineLevel="0" collapsed="false">
      <c r="A151" s="4" t="n">
        <v>154</v>
      </c>
      <c r="B151" s="4" t="s">
        <v>227</v>
      </c>
      <c r="C151" s="4" t="n">
        <v>12</v>
      </c>
      <c r="D151" s="5" t="n">
        <v>1560</v>
      </c>
      <c r="E151" s="5" t="n">
        <v>11700</v>
      </c>
      <c r="F151" s="5" t="n">
        <v>10170</v>
      </c>
      <c r="G151" s="5"/>
      <c r="H151" s="4"/>
      <c r="I151" s="4"/>
      <c r="J151" s="4"/>
      <c r="K151" s="6"/>
      <c r="L151" s="6"/>
      <c r="M151" s="4" t="s">
        <v>15</v>
      </c>
    </row>
    <row r="152" customFormat="false" ht="15" hidden="false" customHeight="true" outlineLevel="0" collapsed="false">
      <c r="A152" s="4" t="n">
        <v>155</v>
      </c>
      <c r="B152" s="4" t="s">
        <v>228</v>
      </c>
      <c r="C152" s="4" t="n">
        <v>50</v>
      </c>
      <c r="D152" s="5" t="n">
        <v>748</v>
      </c>
      <c r="E152" s="5" t="n">
        <v>748</v>
      </c>
      <c r="F152" s="5" t="n">
        <v>450</v>
      </c>
      <c r="G152" s="5"/>
      <c r="H152" s="4"/>
      <c r="I152" s="4"/>
      <c r="J152" s="4"/>
      <c r="K152" s="6"/>
      <c r="L152" s="6"/>
      <c r="M152" s="4" t="s">
        <v>15</v>
      </c>
    </row>
    <row r="153" customFormat="false" ht="15" hidden="false" customHeight="true" outlineLevel="0" collapsed="false">
      <c r="A153" s="4" t="n">
        <v>156</v>
      </c>
      <c r="B153" s="4" t="s">
        <v>229</v>
      </c>
      <c r="C153" s="4" t="n">
        <v>30</v>
      </c>
      <c r="D153" s="5" t="n">
        <v>748</v>
      </c>
      <c r="E153" s="5" t="n">
        <v>748</v>
      </c>
      <c r="F153" s="5" t="n">
        <v>450</v>
      </c>
      <c r="G153" s="5"/>
      <c r="H153" s="4"/>
      <c r="I153" s="4"/>
      <c r="J153" s="4"/>
      <c r="K153" s="6"/>
      <c r="L153" s="6"/>
      <c r="M153" s="4" t="s">
        <v>15</v>
      </c>
    </row>
    <row r="154" customFormat="false" ht="15" hidden="false" customHeight="true" outlineLevel="0" collapsed="false">
      <c r="A154" s="10" t="n">
        <v>157</v>
      </c>
      <c r="B154" s="10" t="s">
        <v>230</v>
      </c>
      <c r="C154" s="10" t="n">
        <v>30</v>
      </c>
      <c r="D154" s="11" t="n">
        <v>748</v>
      </c>
      <c r="E154" s="11" t="n">
        <v>540</v>
      </c>
      <c r="F154" s="11" t="n">
        <v>400</v>
      </c>
      <c r="G154" s="11" t="n">
        <v>688</v>
      </c>
      <c r="H154" s="10" t="n">
        <v>30</v>
      </c>
      <c r="I154" s="10" t="s">
        <v>77</v>
      </c>
      <c r="J154" s="10" t="s">
        <v>231</v>
      </c>
      <c r="K154" s="12" t="n">
        <f aca="false">IF(D154=0,"",G154/D154-1)</f>
        <v>-0.0802139037433155</v>
      </c>
      <c r="L154" s="12" t="n">
        <f aca="false">IF(E154=0,"",G154/E154-1)</f>
        <v>0.274074074074074</v>
      </c>
      <c r="M154" s="10" t="s">
        <v>79</v>
      </c>
    </row>
    <row r="155" customFormat="false" ht="15" hidden="false" customHeight="true" outlineLevel="0" collapsed="false">
      <c r="A155" s="4" t="n">
        <v>158</v>
      </c>
      <c r="B155" s="4" t="s">
        <v>232</v>
      </c>
      <c r="C155" s="4" t="n">
        <v>12</v>
      </c>
      <c r="D155" s="5" t="n">
        <v>311</v>
      </c>
      <c r="E155" s="5" t="n">
        <v>311</v>
      </c>
      <c r="F155" s="5" t="n">
        <v>203</v>
      </c>
      <c r="G155" s="5"/>
      <c r="H155" s="4"/>
      <c r="I155" s="4"/>
      <c r="J155" s="4"/>
      <c r="K155" s="6"/>
      <c r="L155" s="6"/>
      <c r="M155" s="4" t="s">
        <v>15</v>
      </c>
    </row>
    <row r="156" customFormat="false" ht="15" hidden="false" customHeight="true" outlineLevel="0" collapsed="false">
      <c r="A156" s="4" t="n">
        <v>159</v>
      </c>
      <c r="B156" s="4" t="s">
        <v>233</v>
      </c>
      <c r="C156" s="4" t="n">
        <v>100</v>
      </c>
      <c r="D156" s="5" t="n">
        <v>325</v>
      </c>
      <c r="E156" s="5" t="n">
        <v>220</v>
      </c>
      <c r="F156" s="5" t="n">
        <v>160</v>
      </c>
      <c r="G156" s="5"/>
      <c r="H156" s="4"/>
      <c r="I156" s="4"/>
      <c r="J156" s="4"/>
      <c r="K156" s="6"/>
      <c r="L156" s="6"/>
      <c r="M156" s="4" t="s">
        <v>15</v>
      </c>
    </row>
    <row r="157" customFormat="false" ht="15" hidden="false" customHeight="true" outlineLevel="0" collapsed="false">
      <c r="A157" s="4" t="n">
        <v>160</v>
      </c>
      <c r="B157" s="4" t="s">
        <v>234</v>
      </c>
      <c r="C157" s="4" t="n">
        <v>150</v>
      </c>
      <c r="D157" s="5" t="n">
        <v>117</v>
      </c>
      <c r="E157" s="5" t="n">
        <v>117</v>
      </c>
      <c r="F157" s="5" t="n">
        <v>65</v>
      </c>
      <c r="G157" s="5"/>
      <c r="H157" s="4"/>
      <c r="I157" s="4"/>
      <c r="J157" s="4"/>
      <c r="K157" s="6"/>
      <c r="L157" s="6"/>
      <c r="M157" s="4" t="s">
        <v>15</v>
      </c>
    </row>
    <row r="158" customFormat="false" ht="15" hidden="false" customHeight="true" outlineLevel="0" collapsed="false">
      <c r="A158" s="4" t="n">
        <v>161</v>
      </c>
      <c r="B158" s="4" t="s">
        <v>235</v>
      </c>
      <c r="C158" s="4" t="n">
        <v>150</v>
      </c>
      <c r="D158" s="5" t="n">
        <v>169</v>
      </c>
      <c r="E158" s="5" t="n">
        <v>310</v>
      </c>
      <c r="F158" s="5" t="n">
        <v>266</v>
      </c>
      <c r="G158" s="5"/>
      <c r="H158" s="4"/>
      <c r="I158" s="4"/>
      <c r="J158" s="4"/>
      <c r="K158" s="6"/>
      <c r="L158" s="6"/>
      <c r="M158" s="4" t="s">
        <v>15</v>
      </c>
    </row>
    <row r="159" customFormat="false" ht="15" hidden="false" customHeight="true" outlineLevel="0" collapsed="false">
      <c r="A159" s="4" t="n">
        <v>162</v>
      </c>
      <c r="B159" s="4" t="s">
        <v>236</v>
      </c>
      <c r="C159" s="4" t="n">
        <v>150</v>
      </c>
      <c r="D159" s="5" t="n">
        <v>234</v>
      </c>
      <c r="E159" s="5" t="n">
        <v>310</v>
      </c>
      <c r="F159" s="5" t="n">
        <v>266</v>
      </c>
      <c r="G159" s="5"/>
      <c r="H159" s="4"/>
      <c r="I159" s="4"/>
      <c r="J159" s="4"/>
      <c r="K159" s="6"/>
      <c r="L159" s="6"/>
      <c r="M159" s="4" t="s">
        <v>15</v>
      </c>
    </row>
    <row r="160" customFormat="false" ht="15" hidden="false" customHeight="true" outlineLevel="0" collapsed="false">
      <c r="A160" s="4" t="n">
        <v>164</v>
      </c>
      <c r="B160" s="4" t="s">
        <v>237</v>
      </c>
      <c r="C160" s="4" t="n">
        <v>40</v>
      </c>
      <c r="D160" s="5" t="n">
        <v>1209</v>
      </c>
      <c r="E160" s="5" t="n">
        <v>1670</v>
      </c>
      <c r="F160" s="5" t="n">
        <v>1450</v>
      </c>
      <c r="G160" s="5"/>
      <c r="H160" s="4"/>
      <c r="I160" s="4"/>
      <c r="J160" s="4"/>
      <c r="K160" s="6"/>
      <c r="L160" s="6"/>
      <c r="M160" s="4" t="s">
        <v>15</v>
      </c>
    </row>
    <row r="161" customFormat="false" ht="15" hidden="false" customHeight="true" outlineLevel="0" collapsed="false">
      <c r="A161" s="4" t="n">
        <v>165</v>
      </c>
      <c r="B161" s="4" t="s">
        <v>238</v>
      </c>
      <c r="C161" s="4" t="n">
        <v>40</v>
      </c>
      <c r="D161" s="5" t="n">
        <v>1209</v>
      </c>
      <c r="E161" s="5" t="n">
        <v>2590</v>
      </c>
      <c r="F161" s="5" t="n">
        <v>2248</v>
      </c>
      <c r="G161" s="5"/>
      <c r="H161" s="4"/>
      <c r="I161" s="4"/>
      <c r="J161" s="4"/>
      <c r="K161" s="6"/>
      <c r="L161" s="6"/>
      <c r="M161" s="4" t="s">
        <v>15</v>
      </c>
    </row>
    <row r="162" customFormat="false" ht="15" hidden="false" customHeight="true" outlineLevel="0" collapsed="false">
      <c r="A162" s="4" t="n">
        <v>166</v>
      </c>
      <c r="B162" s="4" t="s">
        <v>239</v>
      </c>
      <c r="C162" s="4" t="n">
        <v>20</v>
      </c>
      <c r="D162" s="5" t="n">
        <v>3022</v>
      </c>
      <c r="E162" s="5" t="n">
        <v>3022</v>
      </c>
      <c r="F162" s="5" t="n">
        <v>2325</v>
      </c>
      <c r="G162" s="5"/>
      <c r="H162" s="4"/>
      <c r="I162" s="4"/>
      <c r="J162" s="4"/>
      <c r="K162" s="6"/>
      <c r="L162" s="6"/>
      <c r="M162" s="4" t="s">
        <v>15</v>
      </c>
    </row>
    <row r="163" customFormat="false" ht="15" hidden="false" customHeight="true" outlineLevel="0" collapsed="false">
      <c r="A163" s="7" t="n">
        <v>167</v>
      </c>
      <c r="B163" s="7" t="s">
        <v>240</v>
      </c>
      <c r="C163" s="7" t="n">
        <v>40</v>
      </c>
      <c r="D163" s="8" t="n">
        <v>6240</v>
      </c>
      <c r="E163" s="8" t="n">
        <v>6240</v>
      </c>
      <c r="F163" s="8" t="n">
        <v>4400</v>
      </c>
      <c r="G163" s="8" t="n">
        <v>3850</v>
      </c>
      <c r="H163" s="7" t="n">
        <v>40</v>
      </c>
      <c r="I163" s="7" t="s">
        <v>18</v>
      </c>
      <c r="J163" s="7" t="s">
        <v>241</v>
      </c>
      <c r="K163" s="9" t="n">
        <f aca="false">IF(D163=0,"",G163/D163-1)</f>
        <v>-0.383012820512821</v>
      </c>
      <c r="L163" s="9" t="n">
        <f aca="false">IF(E163=0,"",G163/E163-1)</f>
        <v>-0.383012820512821</v>
      </c>
      <c r="M163" s="7" t="s">
        <v>20</v>
      </c>
    </row>
    <row r="164" customFormat="false" ht="15" hidden="false" customHeight="true" outlineLevel="0" collapsed="false">
      <c r="A164" s="4" t="n">
        <v>168</v>
      </c>
      <c r="B164" s="4" t="s">
        <v>242</v>
      </c>
      <c r="C164" s="4" t="n">
        <v>20</v>
      </c>
      <c r="D164" s="5" t="n">
        <v>7150</v>
      </c>
      <c r="E164" s="5" t="n">
        <v>7150</v>
      </c>
      <c r="F164" s="5" t="n">
        <v>4400</v>
      </c>
      <c r="G164" s="5"/>
      <c r="H164" s="4"/>
      <c r="I164" s="4"/>
      <c r="J164" s="4"/>
      <c r="K164" s="6"/>
      <c r="L164" s="6"/>
      <c r="M164" s="4" t="s">
        <v>15</v>
      </c>
    </row>
    <row r="165" customFormat="false" ht="15" hidden="false" customHeight="true" outlineLevel="0" collapsed="false">
      <c r="A165" s="7" t="n">
        <v>177</v>
      </c>
      <c r="B165" s="7" t="s">
        <v>243</v>
      </c>
      <c r="C165" s="7" t="n">
        <v>3</v>
      </c>
      <c r="D165" s="8" t="n">
        <v>5850</v>
      </c>
      <c r="E165" s="8" t="n">
        <v>10760</v>
      </c>
      <c r="F165" s="8" t="n">
        <v>9360</v>
      </c>
      <c r="G165" s="8" t="n">
        <v>1450</v>
      </c>
      <c r="H165" s="7" t="n">
        <v>3</v>
      </c>
      <c r="I165" s="7" t="s">
        <v>18</v>
      </c>
      <c r="J165" s="7" t="s">
        <v>244</v>
      </c>
      <c r="K165" s="9" t="n">
        <f aca="false">IF(D165=0,"",G165/D165-1)</f>
        <v>-0.752136752136752</v>
      </c>
      <c r="L165" s="9" t="n">
        <f aca="false">IF(E165=0,"",G165/E165-1)</f>
        <v>-0.865241635687732</v>
      </c>
      <c r="M165" s="7" t="s">
        <v>20</v>
      </c>
    </row>
    <row r="166" customFormat="false" ht="15" hidden="false" customHeight="true" outlineLevel="0" collapsed="false">
      <c r="A166" s="4" t="n">
        <v>179</v>
      </c>
      <c r="B166" s="4" t="s">
        <v>245</v>
      </c>
      <c r="C166" s="4" t="n">
        <v>1</v>
      </c>
      <c r="D166" s="5" t="n">
        <v>23400</v>
      </c>
      <c r="E166" s="5" t="n">
        <v>108000</v>
      </c>
      <c r="F166" s="5" t="n">
        <v>93911</v>
      </c>
      <c r="G166" s="5"/>
      <c r="H166" s="4"/>
      <c r="I166" s="4"/>
      <c r="J166" s="4"/>
      <c r="K166" s="6"/>
      <c r="L166" s="6"/>
      <c r="M166" s="4" t="s">
        <v>15</v>
      </c>
    </row>
    <row r="167" customFormat="false" ht="15" hidden="false" customHeight="true" outlineLevel="0" collapsed="false">
      <c r="A167" s="10" t="n">
        <v>180</v>
      </c>
      <c r="B167" s="10" t="s">
        <v>246</v>
      </c>
      <c r="C167" s="10" t="n">
        <v>1</v>
      </c>
      <c r="D167" s="11" t="n">
        <v>15600</v>
      </c>
      <c r="E167" s="11" t="n">
        <v>108000</v>
      </c>
      <c r="F167" s="11" t="n">
        <v>93911</v>
      </c>
      <c r="G167" s="11" t="n">
        <v>8100</v>
      </c>
      <c r="H167" s="10" t="n">
        <v>1</v>
      </c>
      <c r="I167" s="10" t="s">
        <v>77</v>
      </c>
      <c r="J167" s="10" t="s">
        <v>247</v>
      </c>
      <c r="K167" s="12" t="n">
        <f aca="false">IF(D167=0,"",G167/D167-1)</f>
        <v>-0.480769230769231</v>
      </c>
      <c r="L167" s="12" t="n">
        <f aca="false">IF(E167=0,"",G167/E167-1)</f>
        <v>-0.925</v>
      </c>
      <c r="M167" s="10" t="s">
        <v>79</v>
      </c>
    </row>
    <row r="168" customFormat="false" ht="15" hidden="false" customHeight="true" outlineLevel="0" collapsed="false">
      <c r="A168" s="4" t="n">
        <v>181</v>
      </c>
      <c r="B168" s="4" t="s">
        <v>248</v>
      </c>
      <c r="C168" s="4" t="n">
        <v>1</v>
      </c>
      <c r="D168" s="5" t="n">
        <v>33800</v>
      </c>
      <c r="E168" s="5" t="n">
        <v>206760</v>
      </c>
      <c r="F168" s="5" t="n">
        <v>179788</v>
      </c>
      <c r="G168" s="5"/>
      <c r="H168" s="4"/>
      <c r="I168" s="4"/>
      <c r="J168" s="4"/>
      <c r="K168" s="6"/>
      <c r="L168" s="6"/>
      <c r="M168" s="4" t="s">
        <v>15</v>
      </c>
    </row>
    <row r="169" customFormat="false" ht="15" hidden="false" customHeight="true" outlineLevel="0" collapsed="false">
      <c r="A169" s="7" t="n">
        <v>182</v>
      </c>
      <c r="B169" s="7" t="s">
        <v>249</v>
      </c>
      <c r="C169" s="7" t="n">
        <v>1</v>
      </c>
      <c r="D169" s="8" t="n">
        <v>23400</v>
      </c>
      <c r="E169" s="8" t="n">
        <v>206760</v>
      </c>
      <c r="F169" s="8" t="n">
        <v>179788</v>
      </c>
      <c r="G169" s="8" t="n">
        <v>13500</v>
      </c>
      <c r="H169" s="7" t="n">
        <v>1</v>
      </c>
      <c r="I169" s="7" t="s">
        <v>18</v>
      </c>
      <c r="J169" s="7" t="s">
        <v>250</v>
      </c>
      <c r="K169" s="9" t="n">
        <f aca="false">IF(D169=0,"",G169/D169-1)</f>
        <v>-0.423076923076923</v>
      </c>
      <c r="L169" s="9" t="n">
        <f aca="false">IF(E169=0,"",G169/E169-1)</f>
        <v>-0.934706906558328</v>
      </c>
      <c r="M169" s="7" t="s">
        <v>20</v>
      </c>
    </row>
    <row r="170" customFormat="false" ht="15" hidden="false" customHeight="true" outlineLevel="0" collapsed="false">
      <c r="A170" s="4" t="n">
        <v>183</v>
      </c>
      <c r="B170" s="4" t="s">
        <v>251</v>
      </c>
      <c r="C170" s="4" t="n">
        <v>3</v>
      </c>
      <c r="D170" s="5" t="n">
        <v>2860</v>
      </c>
      <c r="E170" s="5" t="n">
        <v>11900</v>
      </c>
      <c r="F170" s="5" t="n">
        <v>10350</v>
      </c>
      <c r="G170" s="5"/>
      <c r="H170" s="4"/>
      <c r="I170" s="4"/>
      <c r="J170" s="4"/>
      <c r="K170" s="6"/>
      <c r="L170" s="6"/>
      <c r="M170" s="4" t="s">
        <v>15</v>
      </c>
    </row>
    <row r="171" customFormat="false" ht="15" hidden="false" customHeight="true" outlineLevel="0" collapsed="false">
      <c r="A171" s="7" t="n">
        <v>184</v>
      </c>
      <c r="B171" s="7" t="s">
        <v>252</v>
      </c>
      <c r="C171" s="7" t="n">
        <v>3</v>
      </c>
      <c r="D171" s="8" t="n">
        <v>3250</v>
      </c>
      <c r="E171" s="8" t="n">
        <v>3360</v>
      </c>
      <c r="F171" s="8" t="n">
        <v>2921</v>
      </c>
      <c r="G171" s="8" t="n">
        <v>1850</v>
      </c>
      <c r="H171" s="7" t="n">
        <v>3</v>
      </c>
      <c r="I171" s="7" t="s">
        <v>18</v>
      </c>
      <c r="J171" s="7" t="s">
        <v>253</v>
      </c>
      <c r="K171" s="9" t="n">
        <f aca="false">IF(D171=0,"",G171/D171-1)</f>
        <v>-0.430769230769231</v>
      </c>
      <c r="L171" s="9" t="n">
        <f aca="false">IF(E171=0,"",G171/E171-1)</f>
        <v>-0.449404761904762</v>
      </c>
      <c r="M171" s="7" t="s">
        <v>20</v>
      </c>
    </row>
    <row r="172" customFormat="false" ht="15" hidden="false" customHeight="true" outlineLevel="0" collapsed="false">
      <c r="A172" s="4" t="n">
        <v>185</v>
      </c>
      <c r="B172" s="4" t="s">
        <v>254</v>
      </c>
      <c r="C172" s="4" t="n">
        <v>3</v>
      </c>
      <c r="D172" s="5" t="n">
        <v>3900</v>
      </c>
      <c r="E172" s="5" t="n">
        <v>15590</v>
      </c>
      <c r="F172" s="5" t="n">
        <v>13558</v>
      </c>
      <c r="G172" s="5"/>
      <c r="H172" s="4"/>
      <c r="I172" s="4"/>
      <c r="J172" s="4"/>
      <c r="K172" s="6"/>
      <c r="L172" s="6"/>
      <c r="M172" s="4" t="s">
        <v>15</v>
      </c>
    </row>
    <row r="173" customFormat="false" ht="15" hidden="false" customHeight="true" outlineLevel="0" collapsed="false">
      <c r="A173" s="7" t="n">
        <v>186</v>
      </c>
      <c r="B173" s="7" t="s">
        <v>255</v>
      </c>
      <c r="C173" s="7" t="n">
        <v>3</v>
      </c>
      <c r="D173" s="8" t="n">
        <v>4550</v>
      </c>
      <c r="E173" s="8" t="n">
        <v>8330</v>
      </c>
      <c r="F173" s="8" t="n">
        <v>7245</v>
      </c>
      <c r="G173" s="8" t="n">
        <v>2850</v>
      </c>
      <c r="H173" s="7" t="n">
        <v>3</v>
      </c>
      <c r="I173" s="7" t="s">
        <v>18</v>
      </c>
      <c r="J173" s="7" t="s">
        <v>256</v>
      </c>
      <c r="K173" s="9" t="n">
        <f aca="false">IF(D173=0,"",G173/D173-1)</f>
        <v>-0.373626373626374</v>
      </c>
      <c r="L173" s="9" t="n">
        <f aca="false">IF(E173=0,"",G173/E173-1)</f>
        <v>-0.657863145258103</v>
      </c>
      <c r="M173" s="7" t="s">
        <v>20</v>
      </c>
    </row>
    <row r="174" customFormat="false" ht="15" hidden="false" customHeight="true" outlineLevel="0" collapsed="false">
      <c r="A174" s="7" t="n">
        <v>187</v>
      </c>
      <c r="B174" s="7" t="s">
        <v>257</v>
      </c>
      <c r="C174" s="7" t="n">
        <v>2</v>
      </c>
      <c r="D174" s="8" t="n">
        <v>7150</v>
      </c>
      <c r="E174" s="8" t="n">
        <v>11390</v>
      </c>
      <c r="F174" s="8" t="n">
        <v>9900</v>
      </c>
      <c r="G174" s="8" t="n">
        <v>5200</v>
      </c>
      <c r="H174" s="7" t="n">
        <v>2</v>
      </c>
      <c r="I174" s="7" t="s">
        <v>18</v>
      </c>
      <c r="J174" s="7" t="s">
        <v>258</v>
      </c>
      <c r="K174" s="9" t="n">
        <f aca="false">IF(D174=0,"",G174/D174-1)</f>
        <v>-0.272727272727273</v>
      </c>
      <c r="L174" s="9" t="n">
        <f aca="false">IF(E174=0,"",G174/E174-1)</f>
        <v>-0.543459174714662</v>
      </c>
      <c r="M174" s="7" t="s">
        <v>20</v>
      </c>
    </row>
    <row r="175" customFormat="false" ht="15" hidden="false" customHeight="true" outlineLevel="0" collapsed="false">
      <c r="A175" s="7" t="n">
        <v>188</v>
      </c>
      <c r="B175" s="7" t="s">
        <v>259</v>
      </c>
      <c r="C175" s="7" t="n">
        <v>1</v>
      </c>
      <c r="D175" s="8" t="n">
        <v>8450</v>
      </c>
      <c r="E175" s="8" t="n">
        <v>53800</v>
      </c>
      <c r="F175" s="8" t="n">
        <v>46782</v>
      </c>
      <c r="G175" s="8" t="n">
        <v>5900</v>
      </c>
      <c r="H175" s="7" t="n">
        <v>1</v>
      </c>
      <c r="I175" s="7" t="s">
        <v>18</v>
      </c>
      <c r="J175" s="7" t="s">
        <v>260</v>
      </c>
      <c r="K175" s="9" t="n">
        <f aca="false">IF(D175=0,"",G175/D175-1)</f>
        <v>-0.301775147928994</v>
      </c>
      <c r="L175" s="9" t="n">
        <f aca="false">IF(E175=0,"",G175/E175-1)</f>
        <v>-0.890334572490706</v>
      </c>
      <c r="M175" s="7" t="s">
        <v>20</v>
      </c>
    </row>
    <row r="176" customFormat="false" ht="15" hidden="false" customHeight="true" outlineLevel="0" collapsed="false">
      <c r="A176" s="7" t="n">
        <v>189</v>
      </c>
      <c r="B176" s="7" t="s">
        <v>261</v>
      </c>
      <c r="C176" s="7" t="n">
        <v>1</v>
      </c>
      <c r="D176" s="8" t="n">
        <v>9750</v>
      </c>
      <c r="E176" s="8" t="n">
        <v>12030</v>
      </c>
      <c r="F176" s="8" t="n">
        <v>10458</v>
      </c>
      <c r="G176" s="8" t="n">
        <v>6300</v>
      </c>
      <c r="H176" s="7" t="n">
        <v>1</v>
      </c>
      <c r="I176" s="7" t="s">
        <v>18</v>
      </c>
      <c r="J176" s="7" t="s">
        <v>262</v>
      </c>
      <c r="K176" s="9" t="n">
        <f aca="false">IF(D176=0,"",G176/D176-1)</f>
        <v>-0.353846153846154</v>
      </c>
      <c r="L176" s="9" t="n">
        <f aca="false">IF(E176=0,"",G176/E176-1)</f>
        <v>-0.476309226932668</v>
      </c>
      <c r="M176" s="7" t="s">
        <v>20</v>
      </c>
    </row>
    <row r="177" customFormat="false" ht="15" hidden="false" customHeight="true" outlineLevel="0" collapsed="false">
      <c r="A177" s="4" t="n">
        <v>190</v>
      </c>
      <c r="B177" s="4" t="s">
        <v>263</v>
      </c>
      <c r="C177" s="4" t="n">
        <v>2</v>
      </c>
      <c r="D177" s="5" t="n">
        <v>2340</v>
      </c>
      <c r="E177" s="5" t="n">
        <v>1200</v>
      </c>
      <c r="F177" s="5" t="n">
        <v>891</v>
      </c>
      <c r="G177" s="5"/>
      <c r="H177" s="4"/>
      <c r="I177" s="4"/>
      <c r="J177" s="4"/>
      <c r="K177" s="6"/>
      <c r="L177" s="6"/>
      <c r="M177" s="4" t="s">
        <v>15</v>
      </c>
    </row>
    <row r="178" customFormat="false" ht="15" hidden="false" customHeight="true" outlineLevel="0" collapsed="false">
      <c r="A178" s="10" t="n">
        <v>191</v>
      </c>
      <c r="B178" s="10" t="s">
        <v>263</v>
      </c>
      <c r="C178" s="10" t="n">
        <v>2</v>
      </c>
      <c r="D178" s="11" t="n">
        <v>3640</v>
      </c>
      <c r="E178" s="11" t="n">
        <v>1940</v>
      </c>
      <c r="F178" s="11" t="n">
        <v>1440</v>
      </c>
      <c r="G178" s="11" t="n">
        <v>2328</v>
      </c>
      <c r="H178" s="10" t="n">
        <v>4</v>
      </c>
      <c r="I178" s="10" t="s">
        <v>77</v>
      </c>
      <c r="J178" s="10" t="s">
        <v>264</v>
      </c>
      <c r="K178" s="12" t="n">
        <f aca="false">IF(D178=0,"",G178/D178-1)</f>
        <v>-0.360439560439561</v>
      </c>
      <c r="L178" s="12" t="n">
        <f aca="false">IF(E178=0,"",G178/E178-1)</f>
        <v>0.2</v>
      </c>
      <c r="M178" s="10" t="s">
        <v>79</v>
      </c>
    </row>
    <row r="179" customFormat="false" ht="15" hidden="false" customHeight="true" outlineLevel="0" collapsed="false">
      <c r="A179" s="4" t="n">
        <v>192</v>
      </c>
      <c r="B179" s="4" t="s">
        <v>265</v>
      </c>
      <c r="C179" s="4" t="n">
        <v>3</v>
      </c>
      <c r="D179" s="5" t="n">
        <v>1950</v>
      </c>
      <c r="E179" s="5" t="n">
        <v>8840</v>
      </c>
      <c r="F179" s="5" t="n">
        <v>7685</v>
      </c>
      <c r="G179" s="5"/>
      <c r="H179" s="4"/>
      <c r="I179" s="4"/>
      <c r="J179" s="4"/>
      <c r="K179" s="6"/>
      <c r="L179" s="6"/>
      <c r="M179" s="4" t="s">
        <v>15</v>
      </c>
    </row>
    <row r="180" customFormat="false" ht="15" hidden="false" customHeight="true" outlineLevel="0" collapsed="false">
      <c r="A180" s="4" t="n">
        <v>193</v>
      </c>
      <c r="B180" s="4" t="s">
        <v>266</v>
      </c>
      <c r="C180" s="4" t="n">
        <v>2</v>
      </c>
      <c r="D180" s="5" t="n">
        <v>5850</v>
      </c>
      <c r="E180" s="5" t="n">
        <v>13740</v>
      </c>
      <c r="F180" s="5" t="n">
        <v>11948</v>
      </c>
      <c r="G180" s="5"/>
      <c r="H180" s="4"/>
      <c r="I180" s="4"/>
      <c r="J180" s="4"/>
      <c r="K180" s="6"/>
      <c r="L180" s="6"/>
      <c r="M180" s="4" t="s">
        <v>15</v>
      </c>
    </row>
    <row r="181" customFormat="false" ht="15" hidden="false" customHeight="true" outlineLevel="0" collapsed="false">
      <c r="A181" s="4" t="n">
        <v>194</v>
      </c>
      <c r="B181" s="4" t="s">
        <v>267</v>
      </c>
      <c r="C181" s="4" t="n">
        <v>3</v>
      </c>
      <c r="D181" s="5" t="n">
        <v>1950</v>
      </c>
      <c r="E181" s="5" t="n">
        <v>8500</v>
      </c>
      <c r="F181" s="5" t="n">
        <v>7387</v>
      </c>
      <c r="G181" s="5"/>
      <c r="H181" s="4"/>
      <c r="I181" s="4"/>
      <c r="J181" s="4"/>
      <c r="K181" s="6"/>
      <c r="L181" s="6"/>
      <c r="M181" s="4" t="s">
        <v>15</v>
      </c>
    </row>
    <row r="182" customFormat="false" ht="15" hidden="false" customHeight="true" outlineLevel="0" collapsed="false">
      <c r="A182" s="4" t="n">
        <v>195</v>
      </c>
      <c r="B182" s="4" t="s">
        <v>268</v>
      </c>
      <c r="C182" s="4" t="n">
        <v>2</v>
      </c>
      <c r="D182" s="5" t="n">
        <v>5850</v>
      </c>
      <c r="E182" s="5" t="n">
        <v>14710</v>
      </c>
      <c r="F182" s="5" t="n">
        <v>12788</v>
      </c>
      <c r="G182" s="5"/>
      <c r="H182" s="4"/>
      <c r="I182" s="4"/>
      <c r="J182" s="4"/>
      <c r="K182" s="6"/>
      <c r="L182" s="6"/>
      <c r="M182" s="4" t="s">
        <v>15</v>
      </c>
    </row>
    <row r="183" customFormat="false" ht="15" hidden="false" customHeight="true" outlineLevel="0" collapsed="false">
      <c r="A183" s="4" t="n">
        <v>196</v>
      </c>
      <c r="B183" s="4" t="s">
        <v>269</v>
      </c>
      <c r="C183" s="4" t="n">
        <v>2</v>
      </c>
      <c r="D183" s="5" t="n">
        <v>4550</v>
      </c>
      <c r="E183" s="5" t="n">
        <v>4550</v>
      </c>
      <c r="F183" s="5" t="n">
        <v>3006</v>
      </c>
      <c r="G183" s="5"/>
      <c r="H183" s="4"/>
      <c r="I183" s="4"/>
      <c r="J183" s="4"/>
      <c r="K183" s="6"/>
      <c r="L183" s="6"/>
      <c r="M183" s="4" t="s">
        <v>15</v>
      </c>
    </row>
    <row r="184" customFormat="false" ht="15" hidden="false" customHeight="true" outlineLevel="0" collapsed="false">
      <c r="A184" s="4" t="n">
        <v>197</v>
      </c>
      <c r="B184" s="4" t="s">
        <v>270</v>
      </c>
      <c r="C184" s="4" t="n">
        <v>1</v>
      </c>
      <c r="D184" s="5" t="n">
        <v>17940</v>
      </c>
      <c r="E184" s="5" t="n">
        <v>7430</v>
      </c>
      <c r="F184" s="5" t="n">
        <v>5500</v>
      </c>
      <c r="G184" s="5"/>
      <c r="H184" s="4"/>
      <c r="I184" s="4"/>
      <c r="J184" s="4"/>
      <c r="K184" s="6"/>
      <c r="L184" s="6"/>
      <c r="M184" s="4" t="s">
        <v>15</v>
      </c>
    </row>
    <row r="185" customFormat="false" ht="15" hidden="false" customHeight="true" outlineLevel="0" collapsed="false">
      <c r="A185" s="4" t="n">
        <v>198</v>
      </c>
      <c r="B185" s="4" t="s">
        <v>271</v>
      </c>
      <c r="C185" s="4" t="n">
        <v>1</v>
      </c>
      <c r="D185" s="5" t="n">
        <v>18850</v>
      </c>
      <c r="E185" s="5" t="n">
        <v>7430</v>
      </c>
      <c r="F185" s="5" t="n">
        <v>5500</v>
      </c>
      <c r="G185" s="5"/>
      <c r="H185" s="4"/>
      <c r="I185" s="4"/>
      <c r="J185" s="4"/>
      <c r="K185" s="6"/>
      <c r="L185" s="6"/>
      <c r="M185" s="4" t="s">
        <v>15</v>
      </c>
    </row>
    <row r="186" customFormat="false" ht="15" hidden="false" customHeight="true" outlineLevel="0" collapsed="false">
      <c r="A186" s="4" t="n">
        <v>199</v>
      </c>
      <c r="B186" s="4" t="s">
        <v>272</v>
      </c>
      <c r="C186" s="4" t="n">
        <v>1</v>
      </c>
      <c r="D186" s="5" t="n">
        <v>19500</v>
      </c>
      <c r="E186" s="5" t="n">
        <v>8370</v>
      </c>
      <c r="F186" s="5" t="n">
        <v>6200</v>
      </c>
      <c r="G186" s="5"/>
      <c r="H186" s="4"/>
      <c r="I186" s="4"/>
      <c r="J186" s="4"/>
      <c r="K186" s="6"/>
      <c r="L186" s="6"/>
      <c r="M186" s="4" t="s">
        <v>15</v>
      </c>
    </row>
    <row r="187" customFormat="false" ht="15" hidden="false" customHeight="true" outlineLevel="0" collapsed="false">
      <c r="A187" s="4" t="n">
        <v>200</v>
      </c>
      <c r="B187" s="4" t="s">
        <v>273</v>
      </c>
      <c r="C187" s="4" t="n">
        <v>1</v>
      </c>
      <c r="D187" s="5" t="n">
        <v>20800</v>
      </c>
      <c r="E187" s="5" t="n">
        <v>9280</v>
      </c>
      <c r="F187" s="5" t="n">
        <v>6875</v>
      </c>
      <c r="G187" s="5"/>
      <c r="H187" s="4"/>
      <c r="I187" s="4"/>
      <c r="J187" s="4"/>
      <c r="K187" s="6"/>
      <c r="L187" s="6"/>
      <c r="M187" s="4" t="s">
        <v>15</v>
      </c>
    </row>
    <row r="188" customFormat="false" ht="15" hidden="false" customHeight="true" outlineLevel="0" collapsed="false">
      <c r="A188" s="4" t="n">
        <v>201</v>
      </c>
      <c r="B188" s="4" t="s">
        <v>274</v>
      </c>
      <c r="C188" s="4" t="n">
        <v>1</v>
      </c>
      <c r="D188" s="5" t="n">
        <v>22750</v>
      </c>
      <c r="E188" s="5" t="n">
        <v>11810</v>
      </c>
      <c r="F188" s="5" t="n">
        <v>8750</v>
      </c>
      <c r="G188" s="5"/>
      <c r="H188" s="4"/>
      <c r="I188" s="4"/>
      <c r="J188" s="4"/>
      <c r="K188" s="6"/>
      <c r="L188" s="6"/>
      <c r="M188" s="4" t="s">
        <v>15</v>
      </c>
    </row>
    <row r="189" customFormat="false" ht="15" hidden="false" customHeight="true" outlineLevel="0" collapsed="false">
      <c r="A189" s="4" t="n">
        <v>202</v>
      </c>
      <c r="B189" s="4" t="s">
        <v>275</v>
      </c>
      <c r="C189" s="4" t="n">
        <v>2</v>
      </c>
      <c r="D189" s="5" t="n">
        <v>2340</v>
      </c>
      <c r="E189" s="5" t="n">
        <v>2340</v>
      </c>
      <c r="F189" s="5" t="n">
        <v>1352</v>
      </c>
      <c r="G189" s="5"/>
      <c r="H189" s="4"/>
      <c r="I189" s="4"/>
      <c r="J189" s="4"/>
      <c r="K189" s="6"/>
      <c r="L189" s="6"/>
      <c r="M189" s="4" t="s">
        <v>15</v>
      </c>
    </row>
    <row r="190" customFormat="false" ht="15" hidden="false" customHeight="true" outlineLevel="0" collapsed="false">
      <c r="A190" s="4" t="n">
        <v>204</v>
      </c>
      <c r="B190" s="4" t="s">
        <v>276</v>
      </c>
      <c r="C190" s="4" t="n">
        <v>6</v>
      </c>
      <c r="D190" s="5" t="n">
        <v>845</v>
      </c>
      <c r="E190" s="5" t="n">
        <v>10000</v>
      </c>
      <c r="F190" s="5" t="n">
        <v>8694</v>
      </c>
      <c r="G190" s="5"/>
      <c r="H190" s="4"/>
      <c r="I190" s="4"/>
      <c r="J190" s="4"/>
      <c r="K190" s="6"/>
      <c r="L190" s="6"/>
      <c r="M190" s="4" t="s">
        <v>15</v>
      </c>
    </row>
    <row r="191" customFormat="false" ht="15" hidden="false" customHeight="true" outlineLevel="0" collapsed="false">
      <c r="A191" s="10" t="n">
        <v>205</v>
      </c>
      <c r="B191" s="10" t="s">
        <v>277</v>
      </c>
      <c r="C191" s="10" t="n">
        <v>6</v>
      </c>
      <c r="D191" s="11" t="n">
        <v>910</v>
      </c>
      <c r="E191" s="11" t="n">
        <v>7500</v>
      </c>
      <c r="F191" s="11" t="n">
        <v>6520</v>
      </c>
      <c r="G191" s="11" t="n">
        <v>8197</v>
      </c>
      <c r="H191" s="10" t="n">
        <v>6</v>
      </c>
      <c r="I191" s="10" t="s">
        <v>77</v>
      </c>
      <c r="J191" s="10" t="s">
        <v>278</v>
      </c>
      <c r="K191" s="12" t="n">
        <f aca="false">IF(D191=0,"",G191/D191-1)</f>
        <v>8.00769230769231</v>
      </c>
      <c r="L191" s="12" t="n">
        <f aca="false">IF(E191=0,"",G191/E191-1)</f>
        <v>0.0929333333333333</v>
      </c>
      <c r="M191" s="10" t="s">
        <v>79</v>
      </c>
    </row>
    <row r="192" customFormat="false" ht="15" hidden="false" customHeight="true" outlineLevel="0" collapsed="false">
      <c r="A192" s="10" t="n">
        <v>206</v>
      </c>
      <c r="B192" s="10" t="s">
        <v>279</v>
      </c>
      <c r="C192" s="10" t="n">
        <v>6</v>
      </c>
      <c r="D192" s="11" t="n">
        <v>1170</v>
      </c>
      <c r="E192" s="11" t="n">
        <v>8800</v>
      </c>
      <c r="F192" s="11" t="n">
        <v>7650</v>
      </c>
      <c r="G192" s="11" t="n">
        <v>9531</v>
      </c>
      <c r="H192" s="10" t="n">
        <v>6</v>
      </c>
      <c r="I192" s="10" t="s">
        <v>77</v>
      </c>
      <c r="J192" s="10" t="s">
        <v>280</v>
      </c>
      <c r="K192" s="12" t="n">
        <f aca="false">IF(D192=0,"",G192/D192-1)</f>
        <v>7.14615384615385</v>
      </c>
      <c r="L192" s="12" t="n">
        <f aca="false">IF(E192=0,"",G192/E192-1)</f>
        <v>0.0830681818181818</v>
      </c>
      <c r="M192" s="10" t="s">
        <v>79</v>
      </c>
    </row>
    <row r="193" customFormat="false" ht="15" hidden="false" customHeight="true" outlineLevel="0" collapsed="false">
      <c r="A193" s="4" t="n">
        <v>207</v>
      </c>
      <c r="B193" s="4" t="s">
        <v>281</v>
      </c>
      <c r="C193" s="4" t="n">
        <v>4</v>
      </c>
      <c r="D193" s="5" t="n">
        <v>1430</v>
      </c>
      <c r="E193" s="5" t="n">
        <v>9830</v>
      </c>
      <c r="F193" s="5" t="n">
        <v>8550</v>
      </c>
      <c r="G193" s="5"/>
      <c r="H193" s="4"/>
      <c r="I193" s="4"/>
      <c r="J193" s="4"/>
      <c r="K193" s="6"/>
      <c r="L193" s="6"/>
      <c r="M193" s="4" t="s">
        <v>15</v>
      </c>
    </row>
    <row r="194" customFormat="false" ht="15" hidden="false" customHeight="true" outlineLevel="0" collapsed="false">
      <c r="A194" s="4" t="n">
        <v>208</v>
      </c>
      <c r="B194" s="4" t="s">
        <v>282</v>
      </c>
      <c r="C194" s="4" t="n">
        <v>3</v>
      </c>
      <c r="D194" s="5" t="n">
        <v>1690</v>
      </c>
      <c r="E194" s="5" t="n">
        <v>3340</v>
      </c>
      <c r="F194" s="5" t="n">
        <v>2900</v>
      </c>
      <c r="G194" s="5"/>
      <c r="H194" s="4"/>
      <c r="I194" s="4"/>
      <c r="J194" s="4"/>
      <c r="K194" s="6"/>
      <c r="L194" s="6"/>
      <c r="M194" s="4" t="s">
        <v>15</v>
      </c>
    </row>
    <row r="195" customFormat="false" ht="15" hidden="false" customHeight="true" outlineLevel="0" collapsed="false">
      <c r="A195" s="4" t="n">
        <v>209</v>
      </c>
      <c r="B195" s="4" t="s">
        <v>283</v>
      </c>
      <c r="C195" s="4" t="n">
        <v>3</v>
      </c>
      <c r="D195" s="5" t="n">
        <v>2340</v>
      </c>
      <c r="E195" s="5" t="n">
        <v>19160</v>
      </c>
      <c r="F195" s="5" t="n">
        <v>16664</v>
      </c>
      <c r="G195" s="5"/>
      <c r="H195" s="4"/>
      <c r="I195" s="4"/>
      <c r="J195" s="4"/>
      <c r="K195" s="6"/>
      <c r="L195" s="6"/>
      <c r="M195" s="4" t="s">
        <v>15</v>
      </c>
    </row>
    <row r="196" customFormat="false" ht="15" hidden="false" customHeight="true" outlineLevel="0" collapsed="false">
      <c r="A196" s="4" t="n">
        <v>210</v>
      </c>
      <c r="B196" s="4" t="s">
        <v>284</v>
      </c>
      <c r="C196" s="4" t="n">
        <v>2</v>
      </c>
      <c r="D196" s="5" t="n">
        <v>2860</v>
      </c>
      <c r="E196" s="5" t="n">
        <v>19160</v>
      </c>
      <c r="F196" s="5" t="n">
        <v>16664</v>
      </c>
      <c r="G196" s="5"/>
      <c r="H196" s="4"/>
      <c r="I196" s="4"/>
      <c r="J196" s="4"/>
      <c r="K196" s="6"/>
      <c r="L196" s="6"/>
      <c r="M196" s="4" t="s">
        <v>15</v>
      </c>
    </row>
    <row r="197" customFormat="false" ht="15" hidden="false" customHeight="true" outlineLevel="0" collapsed="false">
      <c r="A197" s="4" t="n">
        <v>211</v>
      </c>
      <c r="B197" s="4" t="s">
        <v>285</v>
      </c>
      <c r="C197" s="4" t="n">
        <v>1</v>
      </c>
      <c r="D197" s="5" t="n">
        <v>4160</v>
      </c>
      <c r="E197" s="5" t="n">
        <v>19400</v>
      </c>
      <c r="F197" s="5" t="n">
        <v>16870</v>
      </c>
      <c r="G197" s="5"/>
      <c r="H197" s="4"/>
      <c r="I197" s="4"/>
      <c r="J197" s="4"/>
      <c r="K197" s="6"/>
      <c r="L197" s="6"/>
      <c r="M197" s="4" t="s">
        <v>15</v>
      </c>
    </row>
    <row r="198" customFormat="false" ht="15" hidden="false" customHeight="true" outlineLevel="0" collapsed="false">
      <c r="A198" s="4" t="n">
        <v>212</v>
      </c>
      <c r="B198" s="4" t="s">
        <v>286</v>
      </c>
      <c r="C198" s="4" t="n">
        <v>1</v>
      </c>
      <c r="D198" s="5" t="n">
        <v>5460</v>
      </c>
      <c r="E198" s="5" t="n">
        <v>19400</v>
      </c>
      <c r="F198" s="5" t="n">
        <v>16870</v>
      </c>
      <c r="G198" s="5"/>
      <c r="H198" s="4"/>
      <c r="I198" s="4"/>
      <c r="J198" s="4"/>
      <c r="K198" s="6"/>
      <c r="L198" s="6"/>
      <c r="M198" s="4" t="s">
        <v>15</v>
      </c>
    </row>
    <row r="199" customFormat="false" ht="15" hidden="false" customHeight="true" outlineLevel="0" collapsed="false">
      <c r="A199" s="4" t="n">
        <v>213</v>
      </c>
      <c r="B199" s="4" t="s">
        <v>287</v>
      </c>
      <c r="C199" s="4" t="n">
        <v>2</v>
      </c>
      <c r="D199" s="5" t="n">
        <v>455</v>
      </c>
      <c r="E199" s="5" t="n">
        <v>930</v>
      </c>
      <c r="F199" s="5" t="n">
        <v>813</v>
      </c>
      <c r="G199" s="5"/>
      <c r="H199" s="4"/>
      <c r="I199" s="4"/>
      <c r="J199" s="4"/>
      <c r="K199" s="6"/>
      <c r="L199" s="6"/>
      <c r="M199" s="4" t="s">
        <v>15</v>
      </c>
    </row>
    <row r="200" customFormat="false" ht="15" hidden="false" customHeight="true" outlineLevel="0" collapsed="false">
      <c r="A200" s="4" t="n">
        <v>214</v>
      </c>
      <c r="B200" s="4" t="s">
        <v>288</v>
      </c>
      <c r="C200" s="4" t="n">
        <v>2</v>
      </c>
      <c r="D200" s="5" t="n">
        <v>494</v>
      </c>
      <c r="E200" s="5" t="n">
        <v>930</v>
      </c>
      <c r="F200" s="5" t="n">
        <v>813</v>
      </c>
      <c r="G200" s="5"/>
      <c r="H200" s="4"/>
      <c r="I200" s="4"/>
      <c r="J200" s="4"/>
      <c r="K200" s="6"/>
      <c r="L200" s="6"/>
      <c r="M200" s="4" t="s">
        <v>15</v>
      </c>
    </row>
    <row r="201" customFormat="false" ht="15" hidden="false" customHeight="true" outlineLevel="0" collapsed="false">
      <c r="A201" s="4" t="n">
        <v>215</v>
      </c>
      <c r="B201" s="4" t="s">
        <v>289</v>
      </c>
      <c r="C201" s="4" t="n">
        <v>2</v>
      </c>
      <c r="D201" s="5" t="n">
        <v>585</v>
      </c>
      <c r="E201" s="5" t="n">
        <v>2080</v>
      </c>
      <c r="F201" s="5" t="n">
        <v>1806</v>
      </c>
      <c r="G201" s="5"/>
      <c r="H201" s="4"/>
      <c r="I201" s="4"/>
      <c r="J201" s="4"/>
      <c r="K201" s="6"/>
      <c r="L201" s="6"/>
      <c r="M201" s="4" t="s">
        <v>15</v>
      </c>
    </row>
    <row r="202" customFormat="false" ht="15" hidden="false" customHeight="true" outlineLevel="0" collapsed="false">
      <c r="A202" s="4" t="n">
        <v>216</v>
      </c>
      <c r="B202" s="4" t="s">
        <v>290</v>
      </c>
      <c r="C202" s="4" t="n">
        <v>2</v>
      </c>
      <c r="D202" s="5" t="n">
        <v>715</v>
      </c>
      <c r="E202" s="5" t="n">
        <v>2080</v>
      </c>
      <c r="F202" s="5" t="n">
        <v>1806</v>
      </c>
      <c r="G202" s="5"/>
      <c r="H202" s="4"/>
      <c r="I202" s="4"/>
      <c r="J202" s="4"/>
      <c r="K202" s="6"/>
      <c r="L202" s="6"/>
      <c r="M202" s="4" t="s">
        <v>15</v>
      </c>
    </row>
    <row r="203" customFormat="false" ht="15" hidden="false" customHeight="true" outlineLevel="0" collapsed="false">
      <c r="A203" s="4" t="n">
        <v>217</v>
      </c>
      <c r="B203" s="4" t="s">
        <v>291</v>
      </c>
      <c r="C203" s="4" t="n">
        <v>2</v>
      </c>
      <c r="D203" s="5" t="n">
        <v>910</v>
      </c>
      <c r="E203" s="5" t="n">
        <v>5910</v>
      </c>
      <c r="F203" s="5" t="n">
        <v>5143</v>
      </c>
      <c r="G203" s="5"/>
      <c r="H203" s="4"/>
      <c r="I203" s="4"/>
      <c r="J203" s="4"/>
      <c r="K203" s="6"/>
      <c r="L203" s="6"/>
      <c r="M203" s="4" t="s">
        <v>15</v>
      </c>
    </row>
    <row r="204" customFormat="false" ht="15" hidden="false" customHeight="true" outlineLevel="0" collapsed="false">
      <c r="A204" s="4" t="n">
        <v>218</v>
      </c>
      <c r="B204" s="4" t="s">
        <v>292</v>
      </c>
      <c r="C204" s="4" t="n">
        <v>2</v>
      </c>
      <c r="D204" s="5" t="n">
        <v>1170</v>
      </c>
      <c r="E204" s="5" t="n">
        <v>5910</v>
      </c>
      <c r="F204" s="5" t="n">
        <v>5143</v>
      </c>
      <c r="G204" s="5"/>
      <c r="H204" s="4"/>
      <c r="I204" s="4"/>
      <c r="J204" s="4"/>
      <c r="K204" s="6"/>
      <c r="L204" s="6"/>
      <c r="M204" s="4" t="s">
        <v>15</v>
      </c>
    </row>
    <row r="205" customFormat="false" ht="15" hidden="false" customHeight="true" outlineLevel="0" collapsed="false">
      <c r="A205" s="10" t="n">
        <v>219</v>
      </c>
      <c r="B205" s="10" t="s">
        <v>293</v>
      </c>
      <c r="C205" s="10" t="n">
        <v>1</v>
      </c>
      <c r="D205" s="11" t="n">
        <v>1040</v>
      </c>
      <c r="E205" s="11" t="n">
        <v>2340</v>
      </c>
      <c r="F205" s="11" t="n">
        <v>2037</v>
      </c>
      <c r="G205" s="11" t="n">
        <v>2208</v>
      </c>
      <c r="H205" s="10" t="n">
        <v>1</v>
      </c>
      <c r="I205" s="10" t="s">
        <v>77</v>
      </c>
      <c r="J205" s="10" t="s">
        <v>294</v>
      </c>
      <c r="K205" s="12" t="n">
        <f aca="false">IF(D205=0,"",G205/D205-1)</f>
        <v>1.12307692307692</v>
      </c>
      <c r="L205" s="12" t="n">
        <f aca="false">IF(E205=0,"",G205/E205-1)</f>
        <v>-0.0564102564102564</v>
      </c>
      <c r="M205" s="10" t="s">
        <v>79</v>
      </c>
    </row>
    <row r="206" customFormat="false" ht="15" hidden="false" customHeight="true" outlineLevel="0" collapsed="false">
      <c r="A206" s="4" t="n">
        <v>220</v>
      </c>
      <c r="B206" s="4" t="s">
        <v>295</v>
      </c>
      <c r="C206" s="4" t="n">
        <v>1</v>
      </c>
      <c r="D206" s="5" t="n">
        <v>1430</v>
      </c>
      <c r="E206" s="5" t="n">
        <v>4290</v>
      </c>
      <c r="F206" s="5" t="n">
        <v>3728</v>
      </c>
      <c r="G206" s="5"/>
      <c r="H206" s="4"/>
      <c r="I206" s="4"/>
      <c r="J206" s="4"/>
      <c r="K206" s="6"/>
      <c r="L206" s="6"/>
      <c r="M206" s="4" t="s">
        <v>15</v>
      </c>
    </row>
    <row r="207" customFormat="false" ht="15" hidden="false" customHeight="true" outlineLevel="0" collapsed="false">
      <c r="A207" s="4" t="n">
        <v>221</v>
      </c>
      <c r="B207" s="4" t="s">
        <v>296</v>
      </c>
      <c r="C207" s="4" t="n">
        <v>1</v>
      </c>
      <c r="D207" s="5" t="n">
        <v>1950</v>
      </c>
      <c r="E207" s="5" t="n">
        <v>4290</v>
      </c>
      <c r="F207" s="5" t="n">
        <v>3728</v>
      </c>
      <c r="G207" s="5"/>
      <c r="H207" s="4"/>
      <c r="I207" s="4"/>
      <c r="J207" s="4"/>
      <c r="K207" s="6"/>
      <c r="L207" s="6"/>
      <c r="M207" s="4" t="s">
        <v>15</v>
      </c>
    </row>
    <row r="208" customFormat="false" ht="15" hidden="false" customHeight="true" outlineLevel="0" collapsed="false">
      <c r="A208" s="4" t="n">
        <v>222</v>
      </c>
      <c r="B208" s="4" t="s">
        <v>297</v>
      </c>
      <c r="C208" s="4" t="n">
        <v>1</v>
      </c>
      <c r="D208" s="5" t="n">
        <v>15600</v>
      </c>
      <c r="E208" s="5" t="n">
        <v>31050</v>
      </c>
      <c r="F208" s="5" t="n">
        <v>27000</v>
      </c>
      <c r="G208" s="5"/>
      <c r="H208" s="4"/>
      <c r="I208" s="4"/>
      <c r="J208" s="4"/>
      <c r="K208" s="6"/>
      <c r="L208" s="6"/>
      <c r="M208" s="4" t="s">
        <v>15</v>
      </c>
    </row>
    <row r="209" customFormat="false" ht="15" hidden="false" customHeight="true" outlineLevel="0" collapsed="false">
      <c r="A209" s="4" t="n">
        <v>223</v>
      </c>
      <c r="B209" s="4" t="s">
        <v>298</v>
      </c>
      <c r="C209" s="4" t="n">
        <v>2</v>
      </c>
      <c r="D209" s="5" t="n">
        <v>30940</v>
      </c>
      <c r="E209" s="5" t="n">
        <v>36000</v>
      </c>
      <c r="F209" s="5" t="n">
        <v>31300</v>
      </c>
      <c r="G209" s="5"/>
      <c r="H209" s="4"/>
      <c r="I209" s="4"/>
      <c r="J209" s="4"/>
      <c r="K209" s="6"/>
      <c r="L209" s="6"/>
      <c r="M209" s="4" t="s">
        <v>15</v>
      </c>
    </row>
    <row r="210" customFormat="false" ht="15" hidden="false" customHeight="true" outlineLevel="0" collapsed="false">
      <c r="A210" s="4" t="n">
        <v>224</v>
      </c>
      <c r="B210" s="4" t="s">
        <v>299</v>
      </c>
      <c r="C210" s="4" t="n">
        <v>2</v>
      </c>
      <c r="D210" s="5" t="n">
        <v>54600</v>
      </c>
      <c r="E210" s="5" t="n">
        <v>54600</v>
      </c>
      <c r="F210" s="5" t="n">
        <v>39600</v>
      </c>
      <c r="G210" s="5"/>
      <c r="H210" s="4"/>
      <c r="I210" s="4"/>
      <c r="J210" s="4"/>
      <c r="K210" s="6"/>
      <c r="L210" s="6"/>
      <c r="M210" s="4" t="s">
        <v>15</v>
      </c>
    </row>
    <row r="211" customFormat="false" ht="15" hidden="false" customHeight="true" outlineLevel="0" collapsed="false">
      <c r="A211" s="4" t="n">
        <v>225</v>
      </c>
      <c r="B211" s="4" t="s">
        <v>300</v>
      </c>
      <c r="C211" s="4" t="n">
        <v>24</v>
      </c>
      <c r="D211" s="5" t="n">
        <v>1170</v>
      </c>
      <c r="E211" s="5" t="n">
        <v>1810</v>
      </c>
      <c r="F211" s="5" t="n">
        <v>1570</v>
      </c>
      <c r="G211" s="5"/>
      <c r="H211" s="4"/>
      <c r="I211" s="4"/>
      <c r="J211" s="4"/>
      <c r="K211" s="6"/>
      <c r="L211" s="6"/>
      <c r="M211" s="4" t="s">
        <v>15</v>
      </c>
    </row>
    <row r="212" customFormat="false" ht="15" hidden="false" customHeight="true" outlineLevel="0" collapsed="false">
      <c r="A212" s="4" t="n">
        <v>226</v>
      </c>
      <c r="B212" s="4" t="s">
        <v>301</v>
      </c>
      <c r="C212" s="4" t="n">
        <v>24</v>
      </c>
      <c r="D212" s="5" t="n">
        <v>1430</v>
      </c>
      <c r="E212" s="5" t="n">
        <v>6180</v>
      </c>
      <c r="F212" s="5" t="n">
        <v>5371</v>
      </c>
      <c r="G212" s="5"/>
      <c r="H212" s="4"/>
      <c r="I212" s="4"/>
      <c r="J212" s="4"/>
      <c r="K212" s="6"/>
      <c r="L212" s="6"/>
      <c r="M212" s="4" t="s">
        <v>15</v>
      </c>
    </row>
    <row r="213" customFormat="false" ht="15" hidden="false" customHeight="true" outlineLevel="0" collapsed="false">
      <c r="A213" s="4" t="n">
        <v>227</v>
      </c>
      <c r="B213" s="4" t="s">
        <v>302</v>
      </c>
      <c r="C213" s="4" t="n">
        <v>24</v>
      </c>
      <c r="D213" s="5" t="n">
        <v>1820</v>
      </c>
      <c r="E213" s="5" t="n">
        <v>13400</v>
      </c>
      <c r="F213" s="5" t="n">
        <v>11651</v>
      </c>
      <c r="G213" s="5"/>
      <c r="H213" s="4"/>
      <c r="I213" s="4"/>
      <c r="J213" s="4"/>
      <c r="K213" s="6"/>
      <c r="L213" s="6"/>
      <c r="M213" s="4" t="s">
        <v>15</v>
      </c>
    </row>
    <row r="214" customFormat="false" ht="15" hidden="false" customHeight="true" outlineLevel="0" collapsed="false">
      <c r="A214" s="4" t="n">
        <v>228</v>
      </c>
      <c r="B214" s="4" t="s">
        <v>303</v>
      </c>
      <c r="C214" s="4" t="n">
        <v>24</v>
      </c>
      <c r="D214" s="5" t="n">
        <v>2860</v>
      </c>
      <c r="E214" s="5" t="n">
        <v>2860</v>
      </c>
      <c r="F214" s="5" t="n">
        <v>2088</v>
      </c>
      <c r="G214" s="5"/>
      <c r="H214" s="4"/>
      <c r="I214" s="4"/>
      <c r="J214" s="4"/>
      <c r="K214" s="6"/>
      <c r="L214" s="6"/>
      <c r="M214" s="4" t="s">
        <v>15</v>
      </c>
    </row>
    <row r="215" customFormat="false" ht="15" hidden="false" customHeight="true" outlineLevel="0" collapsed="false">
      <c r="A215" s="10" t="n">
        <v>229</v>
      </c>
      <c r="B215" s="10" t="s">
        <v>304</v>
      </c>
      <c r="C215" s="10" t="n">
        <v>24</v>
      </c>
      <c r="D215" s="11" t="n">
        <v>2340</v>
      </c>
      <c r="E215" s="11" t="n">
        <v>8700</v>
      </c>
      <c r="F215" s="11" t="n">
        <v>7569</v>
      </c>
      <c r="G215" s="11" t="n">
        <v>8197</v>
      </c>
      <c r="H215" s="10" t="n">
        <v>24</v>
      </c>
      <c r="I215" s="10" t="s">
        <v>77</v>
      </c>
      <c r="J215" s="10" t="s">
        <v>305</v>
      </c>
      <c r="K215" s="12" t="n">
        <f aca="false">IF(D215=0,"",G215/D215-1)</f>
        <v>2.50299145299145</v>
      </c>
      <c r="L215" s="12" t="n">
        <f aca="false">IF(E215=0,"",G215/E215-1)</f>
        <v>-0.057816091954023</v>
      </c>
      <c r="M215" s="10" t="s">
        <v>79</v>
      </c>
    </row>
    <row r="216" customFormat="false" ht="15" hidden="false" customHeight="true" outlineLevel="0" collapsed="false">
      <c r="A216" s="4" t="n">
        <v>230</v>
      </c>
      <c r="B216" s="4" t="s">
        <v>306</v>
      </c>
      <c r="C216" s="4" t="n">
        <v>1</v>
      </c>
      <c r="D216" s="5" t="n">
        <v>9750</v>
      </c>
      <c r="E216" s="5" t="n">
        <v>9750</v>
      </c>
      <c r="F216" s="5" t="n">
        <v>5950</v>
      </c>
      <c r="G216" s="5"/>
      <c r="H216" s="4"/>
      <c r="I216" s="4"/>
      <c r="J216" s="4"/>
      <c r="K216" s="6"/>
      <c r="L216" s="6"/>
      <c r="M216" s="4" t="s">
        <v>15</v>
      </c>
    </row>
    <row r="217" customFormat="false" ht="15" hidden="false" customHeight="true" outlineLevel="0" collapsed="false">
      <c r="A217" s="10" t="n">
        <v>231</v>
      </c>
      <c r="B217" s="10" t="s">
        <v>307</v>
      </c>
      <c r="C217" s="10" t="n">
        <v>1</v>
      </c>
      <c r="D217" s="11" t="n">
        <v>12350</v>
      </c>
      <c r="E217" s="11" t="n">
        <v>8030</v>
      </c>
      <c r="F217" s="11" t="n">
        <v>5950</v>
      </c>
      <c r="G217" s="11" t="n">
        <v>11638</v>
      </c>
      <c r="H217" s="10" t="n">
        <v>1</v>
      </c>
      <c r="I217" s="10" t="s">
        <v>77</v>
      </c>
      <c r="J217" s="10" t="s">
        <v>308</v>
      </c>
      <c r="K217" s="12" t="n">
        <f aca="false">IF(D217=0,"",G217/D217-1)</f>
        <v>-0.0576518218623482</v>
      </c>
      <c r="L217" s="12" t="n">
        <f aca="false">IF(E217=0,"",G217/E217-1)</f>
        <v>0.449315068493151</v>
      </c>
      <c r="M217" s="10" t="s">
        <v>79</v>
      </c>
    </row>
    <row r="218" customFormat="false" ht="15" hidden="false" customHeight="true" outlineLevel="0" collapsed="false">
      <c r="A218" s="7" t="n">
        <v>233</v>
      </c>
      <c r="B218" s="7" t="s">
        <v>309</v>
      </c>
      <c r="C218" s="7" t="n">
        <v>2</v>
      </c>
      <c r="D218" s="8" t="n">
        <v>52000</v>
      </c>
      <c r="E218" s="8" t="n">
        <v>52000</v>
      </c>
      <c r="F218" s="8" t="n">
        <v>40000</v>
      </c>
      <c r="G218" s="8" t="n">
        <v>118750</v>
      </c>
      <c r="H218" s="7" t="n">
        <v>2</v>
      </c>
      <c r="I218" s="7" t="s">
        <v>32</v>
      </c>
      <c r="J218" s="7" t="s">
        <v>310</v>
      </c>
      <c r="K218" s="9" t="n">
        <f aca="false">IF(D218=0,"",G218/D218-1)</f>
        <v>1.28365384615385</v>
      </c>
      <c r="L218" s="9" t="n">
        <f aca="false">IF(E218=0,"",G218/E218-1)</f>
        <v>1.28365384615385</v>
      </c>
      <c r="M218" s="7" t="s">
        <v>20</v>
      </c>
    </row>
    <row r="219" customFormat="false" ht="15" hidden="false" customHeight="true" outlineLevel="0" collapsed="false">
      <c r="A219" s="4" t="n">
        <v>234</v>
      </c>
      <c r="B219" s="4" t="s">
        <v>311</v>
      </c>
      <c r="C219" s="4" t="n">
        <v>3</v>
      </c>
      <c r="D219" s="5" t="n">
        <v>3094</v>
      </c>
      <c r="E219" s="5" t="n">
        <v>3094</v>
      </c>
      <c r="F219" s="5" t="n">
        <v>1740</v>
      </c>
      <c r="G219" s="5"/>
      <c r="H219" s="4"/>
      <c r="I219" s="4"/>
      <c r="J219" s="4"/>
      <c r="K219" s="6"/>
      <c r="L219" s="6"/>
      <c r="M219" s="4" t="s">
        <v>15</v>
      </c>
    </row>
    <row r="220" customFormat="false" ht="15" hidden="false" customHeight="true" outlineLevel="0" collapsed="false">
      <c r="A220" s="4" t="n">
        <v>235</v>
      </c>
      <c r="B220" s="4" t="s">
        <v>312</v>
      </c>
      <c r="C220" s="4" t="n">
        <v>3</v>
      </c>
      <c r="D220" s="5" t="n">
        <v>2860</v>
      </c>
      <c r="E220" s="5" t="n">
        <v>680</v>
      </c>
      <c r="F220" s="5" t="n">
        <v>500</v>
      </c>
      <c r="G220" s="5"/>
      <c r="H220" s="4"/>
      <c r="I220" s="4"/>
      <c r="J220" s="4"/>
      <c r="K220" s="6"/>
      <c r="L220" s="6"/>
      <c r="M220" s="4" t="s">
        <v>15</v>
      </c>
    </row>
    <row r="221" customFormat="false" ht="15" hidden="false" customHeight="true" outlineLevel="0" collapsed="false">
      <c r="A221" s="4" t="n">
        <v>236</v>
      </c>
      <c r="B221" s="4" t="s">
        <v>313</v>
      </c>
      <c r="C221" s="4" t="n">
        <v>200</v>
      </c>
      <c r="D221" s="5" t="n">
        <v>2860</v>
      </c>
      <c r="E221" s="5" t="n">
        <v>4150</v>
      </c>
      <c r="F221" s="5" t="n">
        <v>3609</v>
      </c>
      <c r="G221" s="5"/>
      <c r="H221" s="4"/>
      <c r="I221" s="4"/>
      <c r="J221" s="4"/>
      <c r="K221" s="6"/>
      <c r="L221" s="6"/>
      <c r="M221" s="4" t="s">
        <v>15</v>
      </c>
    </row>
    <row r="222" customFormat="false" ht="15" hidden="false" customHeight="true" outlineLevel="0" collapsed="false">
      <c r="A222" s="4" t="n">
        <v>237</v>
      </c>
      <c r="B222" s="4" t="s">
        <v>314</v>
      </c>
      <c r="C222" s="4" t="n">
        <v>24</v>
      </c>
      <c r="D222" s="5" t="n">
        <v>845</v>
      </c>
      <c r="E222" s="5" t="n">
        <v>200</v>
      </c>
      <c r="F222" s="5" t="n">
        <v>150</v>
      </c>
      <c r="G222" s="5"/>
      <c r="H222" s="4"/>
      <c r="I222" s="4"/>
      <c r="J222" s="4"/>
      <c r="K222" s="6"/>
      <c r="L222" s="6"/>
      <c r="M222" s="4" t="s">
        <v>15</v>
      </c>
    </row>
    <row r="223" customFormat="false" ht="15" hidden="false" customHeight="true" outlineLevel="0" collapsed="false">
      <c r="A223" s="4" t="n">
        <v>238</v>
      </c>
      <c r="B223" s="4" t="s">
        <v>315</v>
      </c>
      <c r="C223" s="4" t="n">
        <v>6</v>
      </c>
      <c r="D223" s="5" t="n">
        <v>8450</v>
      </c>
      <c r="E223" s="5" t="n">
        <v>8970</v>
      </c>
      <c r="F223" s="5" t="n">
        <v>7800</v>
      </c>
      <c r="G223" s="5"/>
      <c r="H223" s="4"/>
      <c r="I223" s="4"/>
      <c r="J223" s="4"/>
      <c r="K223" s="6"/>
      <c r="L223" s="6"/>
      <c r="M223" s="4" t="s">
        <v>15</v>
      </c>
    </row>
    <row r="224" customFormat="false" ht="15" hidden="false" customHeight="true" outlineLevel="0" collapsed="false">
      <c r="A224" s="4" t="n">
        <v>239</v>
      </c>
      <c r="B224" s="4" t="s">
        <v>316</v>
      </c>
      <c r="C224" s="4" t="n">
        <v>50</v>
      </c>
      <c r="D224" s="5" t="n">
        <v>65000</v>
      </c>
      <c r="E224" s="5" t="n">
        <v>65000</v>
      </c>
      <c r="F224" s="5" t="n">
        <v>44000</v>
      </c>
      <c r="G224" s="5"/>
      <c r="H224" s="4"/>
      <c r="I224" s="4"/>
      <c r="J224" s="4"/>
      <c r="K224" s="6"/>
      <c r="L224" s="6"/>
      <c r="M224" s="4" t="s">
        <v>15</v>
      </c>
    </row>
    <row r="225" customFormat="false" ht="15" hidden="false" customHeight="true" outlineLevel="0" collapsed="false">
      <c r="A225" s="4" t="n">
        <v>240</v>
      </c>
      <c r="B225" s="4" t="s">
        <v>317</v>
      </c>
      <c r="C225" s="4" t="n">
        <v>50</v>
      </c>
      <c r="D225" s="5" t="n">
        <v>325</v>
      </c>
      <c r="E225" s="5" t="n">
        <v>1240</v>
      </c>
      <c r="F225" s="5" t="n">
        <v>1080</v>
      </c>
      <c r="G225" s="5"/>
      <c r="H225" s="4"/>
      <c r="I225" s="4"/>
      <c r="J225" s="4"/>
      <c r="K225" s="6"/>
      <c r="L225" s="6"/>
      <c r="M225" s="4" t="s">
        <v>15</v>
      </c>
    </row>
    <row r="227" customFormat="false" ht="15" hidden="false" customHeight="true" outlineLevel="0" collapsed="false">
      <c r="A227" s="13" t="s">
        <v>318</v>
      </c>
    </row>
    <row r="228" customFormat="false" ht="15" hidden="false" customHeight="true" outlineLevel="0" collapsed="false">
      <c r="A228" s="14"/>
      <c r="B228" s="14" t="s">
        <v>319</v>
      </c>
      <c r="C228" s="14"/>
      <c r="D228" s="14"/>
      <c r="E228" s="14"/>
      <c r="F228" s="14"/>
      <c r="G228" s="15" t="n">
        <v>17860</v>
      </c>
      <c r="H228" s="14" t="n">
        <v>3</v>
      </c>
      <c r="I228" s="14" t="s">
        <v>32</v>
      </c>
      <c r="J228" s="14" t="s">
        <v>320</v>
      </c>
      <c r="K228" s="14"/>
      <c r="L228" s="14"/>
      <c r="M228" s="14" t="s">
        <v>321</v>
      </c>
    </row>
    <row r="229" customFormat="false" ht="15" hidden="false" customHeight="true" outlineLevel="0" collapsed="false">
      <c r="A229" s="14"/>
      <c r="B229" s="14" t="s">
        <v>322</v>
      </c>
      <c r="C229" s="14"/>
      <c r="D229" s="14"/>
      <c r="E229" s="14"/>
      <c r="F229" s="14"/>
      <c r="G229" s="15" t="n">
        <v>550</v>
      </c>
      <c r="H229" s="14" t="n">
        <v>12</v>
      </c>
      <c r="I229" s="14" t="s">
        <v>18</v>
      </c>
      <c r="J229" s="14" t="s">
        <v>323</v>
      </c>
      <c r="K229" s="14"/>
      <c r="L229" s="14"/>
      <c r="M229" s="14" t="s">
        <v>321</v>
      </c>
    </row>
    <row r="230" customFormat="false" ht="15" hidden="false" customHeight="true" outlineLevel="0" collapsed="false">
      <c r="A230" s="14"/>
      <c r="B230" s="14" t="s">
        <v>324</v>
      </c>
      <c r="C230" s="14"/>
      <c r="D230" s="14"/>
      <c r="E230" s="14"/>
      <c r="F230" s="14"/>
      <c r="G230" s="15" t="n">
        <v>2500</v>
      </c>
      <c r="H230" s="14" t="n">
        <v>40</v>
      </c>
      <c r="I230" s="14" t="s">
        <v>18</v>
      </c>
      <c r="J230" s="14" t="s">
        <v>325</v>
      </c>
      <c r="K230" s="14"/>
      <c r="L230" s="14"/>
      <c r="M230" s="14" t="s">
        <v>321</v>
      </c>
    </row>
    <row r="231" customFormat="false" ht="15" hidden="false" customHeight="true" outlineLevel="0" collapsed="false">
      <c r="A231" s="14"/>
      <c r="B231" s="14" t="s">
        <v>326</v>
      </c>
      <c r="C231" s="14"/>
      <c r="D231" s="14"/>
      <c r="E231" s="14"/>
      <c r="F231" s="14"/>
      <c r="G231" s="15" t="n">
        <v>2800</v>
      </c>
      <c r="H231" s="14" t="n">
        <v>40</v>
      </c>
      <c r="I231" s="14" t="s">
        <v>18</v>
      </c>
      <c r="J231" s="14" t="s">
        <v>327</v>
      </c>
      <c r="K231" s="14"/>
      <c r="L231" s="14"/>
      <c r="M231" s="14" t="s">
        <v>321</v>
      </c>
    </row>
    <row r="232" customFormat="false" ht="15" hidden="false" customHeight="true" outlineLevel="0" collapsed="false">
      <c r="A232" s="14"/>
      <c r="B232" s="14" t="s">
        <v>328</v>
      </c>
      <c r="C232" s="14"/>
      <c r="D232" s="14"/>
      <c r="E232" s="14"/>
      <c r="F232" s="14"/>
      <c r="G232" s="15" t="n">
        <v>2800</v>
      </c>
      <c r="H232" s="14" t="n">
        <v>20</v>
      </c>
      <c r="I232" s="14" t="s">
        <v>18</v>
      </c>
      <c r="J232" s="14" t="s">
        <v>329</v>
      </c>
      <c r="K232" s="14"/>
      <c r="L232" s="14"/>
      <c r="M232" s="14" t="s">
        <v>321</v>
      </c>
    </row>
    <row r="233" customFormat="false" ht="15" hidden="false" customHeight="true" outlineLevel="0" collapsed="false">
      <c r="A233" s="14"/>
      <c r="B233" s="14" t="s">
        <v>330</v>
      </c>
      <c r="C233" s="14"/>
      <c r="D233" s="14"/>
      <c r="E233" s="14"/>
      <c r="F233" s="14"/>
      <c r="G233" s="15" t="n">
        <v>1600</v>
      </c>
      <c r="H233" s="14" t="n">
        <v>20</v>
      </c>
      <c r="I233" s="14" t="s">
        <v>18</v>
      </c>
      <c r="J233" s="14" t="s">
        <v>331</v>
      </c>
      <c r="K233" s="14"/>
      <c r="L233" s="14"/>
      <c r="M233" s="14" t="s">
        <v>321</v>
      </c>
    </row>
    <row r="234" customFormat="false" ht="15" hidden="false" customHeight="true" outlineLevel="0" collapsed="false">
      <c r="A234" s="14"/>
      <c r="B234" s="14" t="s">
        <v>332</v>
      </c>
      <c r="C234" s="14"/>
      <c r="D234" s="14"/>
      <c r="E234" s="14"/>
      <c r="F234" s="14"/>
      <c r="G234" s="15" t="n">
        <v>2500</v>
      </c>
      <c r="H234" s="14" t="n">
        <v>10</v>
      </c>
      <c r="I234" s="14" t="s">
        <v>18</v>
      </c>
      <c r="J234" s="14" t="s">
        <v>333</v>
      </c>
      <c r="K234" s="14"/>
      <c r="L234" s="14"/>
      <c r="M234" s="14" t="s">
        <v>321</v>
      </c>
    </row>
    <row r="235" customFormat="false" ht="15" hidden="false" customHeight="true" outlineLevel="0" collapsed="false">
      <c r="A235" s="14"/>
      <c r="B235" s="14" t="s">
        <v>334</v>
      </c>
      <c r="C235" s="14"/>
      <c r="D235" s="14"/>
      <c r="E235" s="14"/>
      <c r="F235" s="14"/>
      <c r="G235" s="15" t="n">
        <v>2800</v>
      </c>
      <c r="H235" s="14" t="n">
        <v>10</v>
      </c>
      <c r="I235" s="14" t="s">
        <v>18</v>
      </c>
      <c r="J235" s="14" t="s">
        <v>335</v>
      </c>
      <c r="K235" s="14"/>
      <c r="L235" s="14"/>
      <c r="M235" s="14" t="s">
        <v>321</v>
      </c>
    </row>
    <row r="236" customFormat="false" ht="15" hidden="false" customHeight="true" outlineLevel="0" collapsed="false">
      <c r="A236" s="14"/>
      <c r="B236" s="14" t="s">
        <v>336</v>
      </c>
      <c r="C236" s="14"/>
      <c r="D236" s="14"/>
      <c r="E236" s="14"/>
      <c r="F236" s="14"/>
      <c r="G236" s="15" t="n">
        <v>2800</v>
      </c>
      <c r="H236" s="14" t="n">
        <v>10</v>
      </c>
      <c r="I236" s="14" t="s">
        <v>18</v>
      </c>
      <c r="J236" s="14" t="s">
        <v>337</v>
      </c>
      <c r="K236" s="14"/>
      <c r="L236" s="14"/>
      <c r="M236" s="14" t="s">
        <v>321</v>
      </c>
    </row>
    <row r="237" customFormat="false" ht="15" hidden="false" customHeight="true" outlineLevel="0" collapsed="false">
      <c r="A237" s="14"/>
      <c r="B237" s="14" t="s">
        <v>338</v>
      </c>
      <c r="C237" s="14"/>
      <c r="D237" s="14"/>
      <c r="E237" s="14"/>
      <c r="F237" s="14"/>
      <c r="G237" s="15" t="n">
        <v>1600</v>
      </c>
      <c r="H237" s="14" t="n">
        <v>10</v>
      </c>
      <c r="I237" s="14" t="s">
        <v>18</v>
      </c>
      <c r="J237" s="14" t="s">
        <v>339</v>
      </c>
      <c r="K237" s="14"/>
      <c r="L237" s="14"/>
      <c r="M237" s="1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2026-10-26T10:03:50Z</dcterms:created>
  <dc:creator>openpyxl</dc:creator>
  <dc:description/>
  <dc:language>en-US</dc:language>
  <cp:lastModifiedBy/>
  <dcterms:modified xsi:type="dcterms:W3CDTF">2026-10-26T10:09:06Z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