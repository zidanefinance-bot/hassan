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<sst xmlns="http://schemas.openxmlformats.org/spreadsheetml/2006/main" count="1382" uniqueCount="529">
  <si>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</si>
  <si>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</si>
  <si>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</si>
  <si>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</si>
  <si>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</si>
  <si>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</si>
  <si>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</si>
  <si>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</si>
  <si>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</si>
  <si>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</si>
  <si>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</si>
  <si>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</si>
  <si>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</si>
  <si>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</si>
  <si>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</si>
  <si>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</si>
  <si>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</si>
  <si>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</si>
  <si>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</si>
  <si>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</si>
  <si>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</si>
  <si>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</si>
  <si>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</si>
  <si>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</si>
  <si>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N</t>
  </si>
  <si>
    <t xml:space="preserve">toolshub/ingcomart Permanent 4in 120; nasirnsons Rhodius 280</t>
  </si>
  <si>
    <t xml:space="preserve">Online nahi mila - dealer quote chahiye. stone 4in (metal 4in Permanent 120 / Rhodius 280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</si>
  <si>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</si>
  <si>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</si>
  <si>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</si>
  <si>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</si>
  <si>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</si>
  <si>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</si>
  <si>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</si>
  <si>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</si>
  <si>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</si>
  <si>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</si>
  <si>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Dormer A002</t>
  </si>
  <si>
    <t xml:space="preserve">toolsmart.pk Dormer A002 1-10mm from 900 (8mm exact n/a)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</si>
  <si>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</si>
  <si>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</si>
  <si>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</si>
  <si>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</si>
  <si>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</si>
  <si>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</si>
  <si>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</si>
  <si>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</si>
  <si>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</si>
  <si>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</si>
  <si>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</si>
  <si>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DOUBLE OPEN RING OFFSET WRENCH SET (12PCS)</t>
  </si>
  <si>
    <t xml:space="preserve">S</t>
  </si>
  <si>
    <t xml:space="preserve">toolsmart.pk Licota offset ring singles 8x10 1,230 / 14x15 2,060 / 24x26 3,420 / 30x32 4,240 -&gt; 12pc 6-32 sum ~29,600</t>
  </si>
  <si>
    <t xml:space="preserve">Spec/pack/stock farq - source dekho</t>
  </si>
  <si>
    <t xml:space="preserve">DOUBLE OPEN END WRENCH 6 TO 32 (12 PCS SET)</t>
  </si>
  <si>
    <t xml:space="preserve">toolsmart Licota; Ingco 12pc 9,899</t>
  </si>
  <si>
    <t xml:space="preserve">Online nahi mila - dealer quote chahiye. Licota/Yato PK listing nahi; sasta alt: Harden 12630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</si>
  <si>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</si>
  <si>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</si>
  <si>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</si>
  <si>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</si>
  <si>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</si>
  <si>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toolsmart Licota 14pc combo 25,660</t>
  </si>
  <si>
    <t xml:space="preserve">Online nahi mila - dealer quote chahiye. Licota/Yato PK listing nahi; sasta alt: Tolsen 11780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</si>
  <si>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</si>
  <si>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</si>
  <si>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</si>
  <si>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pin punch 5,460</t>
  </si>
  <si>
    <t xml:space="preserve">HOLLOW PUNCH (3MM-25MM) (15PCS SET)</t>
  </si>
  <si>
    <t xml:space="preserve">Licota TAP-50042 hollow punch (PH) scaled to 15pc 3-25mm</t>
  </si>
  <si>
    <t xml:space="preserve">Online nahi mila - dealer quote chahiye. Licota/Yato PK listing nahi; sasta alt: Harden 4699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</si>
  <si>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</si>
  <si>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</si>
  <si>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</si>
  <si>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 Licota hex sets (scaled)</t>
  </si>
  <si>
    <t xml:space="preserve">Online nahi mila - dealer quote chahiye. Licota/Yato PK listing nahi; sasta alt: Harden 1420</t>
  </si>
  <si>
    <t xml:space="preserve">LONG TYPE HEX WRENCH SET 09 PCS</t>
  </si>
  <si>
    <t xml:space="preserve">same as 17</t>
  </si>
  <si>
    <t xml:space="preserve">ALLEN HEX KEY 12MM</t>
  </si>
  <si>
    <t xml:space="preserve">goldentools.ae Licota 12mm hex AED 250/20pc</t>
  </si>
  <si>
    <t xml:space="preserve">ALLEN (HEX) KEY 14MM</t>
  </si>
  <si>
    <t xml:space="preserve">goldentools.ae Licota 12mm hex scaled</t>
  </si>
  <si>
    <t xml:space="preserve">ALLEN (HEX) KEY 16MM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</si>
  <si>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</si>
  <si>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</si>
  <si>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</si>
  <si>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</si>
  <si>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</si>
  <si>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</si>
  <si>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toolsmart.pk Licota 175mm snap ring set (2,913/pc) scaled to 230mm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</si>
  <si>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</si>
  <si>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</si>
  <si>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</si>
  <si>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</si>
  <si>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</si>
  <si>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Licota 18in 9,620 / 14in 6,730 scaled</t>
  </si>
  <si>
    <t xml:space="preserve">Online nahi mila - dealer quote chahiye. Licota/Yato PK listing nahi; sasta alt: Total 1700</t>
  </si>
  <si>
    <t xml:space="preserve">PIPE WRENCH SIZE 12"</t>
  </si>
  <si>
    <t xml:space="preserve">Online nahi mila - dealer quote chahiye. Licota/Yato PK listing nahi; sasta alt: Harden 2850</t>
  </si>
  <si>
    <t xml:space="preserve">PIPE WRENCH SIZE 18"</t>
  </si>
  <si>
    <t xml:space="preserve">toolsmart Licota 18in pipe wrench 9,620</t>
  </si>
  <si>
    <t xml:space="preserve">PIPE WRENCH SIZE 24"</t>
  </si>
  <si>
    <t xml:space="preserve">Online nahi mila - dealer quote chahiye. Licota/Yato PK listing nahi; sasta alt: Harden 6560</t>
  </si>
  <si>
    <t xml:space="preserve">PIPE WRENCH SIZE 36"</t>
  </si>
  <si>
    <t xml:space="preserve">Online nahi mila - dealer quote chahiye. Licota/Yato PK listing nahi; sasta alt: Total 7900</t>
  </si>
  <si>
    <t xml:space="preserve">SLEDGE HAMMER 1 LBS WITH FIBREGLASS HANDLE</t>
  </si>
  <si>
    <t xml:space="preserve">goldentools.ae Licota sledge 1500g AED 96 scaled to 1lb</t>
  </si>
  <si>
    <t xml:space="preserve">Online nahi mila - dealer quote chahiye. Licota/Yato PK listing nahi; sasta alt: Total 2000</t>
  </si>
  <si>
    <t xml:space="preserve">SLEDGE HAMMER 3 LBS WITH FIBREGLASS HANDLE</t>
  </si>
  <si>
    <t xml:space="preserve">goldentools.ae Licota sledge 1500g AED 96</t>
  </si>
  <si>
    <t xml:space="preserve">Online nahi mila - dealer quote chahiye. Licota/Yato PK listing nahi; sasta alt: Harden 3380</t>
  </si>
  <si>
    <t xml:space="preserve">SOFT FACE DEAD BLOW HAMMER 50MM</t>
  </si>
  <si>
    <t xml:space="preserve">goldentools.ae Licota dead blow 45mm AED 65</t>
  </si>
  <si>
    <t xml:space="preserve">Online nahi mila - dealer quote chahiye. Licota/Yato PK listing nahi; sasta alt: Harden 2450</t>
  </si>
  <si>
    <t xml:space="preserve">VICE GRIP PLIER 08"</t>
  </si>
  <si>
    <t xml:space="preserve">goldentools.ae Licota locking plier 10in AED 42</t>
  </si>
  <si>
    <t xml:space="preserve">Online nahi mila - dealer quote chahiye. 8in (alt 10in Harden toolsmart 1,660 / Ingco 1,790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</si>
  <si>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</si>
  <si>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</si>
  <si>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</si>
  <si>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</si>
  <si>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</si>
  <si>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</si>
  <si>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</si>
  <si>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</si>
  <si>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</si>
  <si>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</si>
  <si>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goldentools.ae Licota AED x~100 (AED76 + PK import)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</si>
  <si>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</si>
  <si>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</si>
  <si>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</si>
  <si>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</si>
  <si>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</si>
  <si>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</si>
  <si>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</si>
  <si>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</si>
  <si>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</si>
  <si>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</si>
  <si>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</si>
  <si>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</si>
  <si>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</si>
  <si>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</si>
  <si>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</si>
  <si>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goldentools.ae Licota 3-jaw 6in AED 120 scaled to 8in</t>
  </si>
  <si>
    <t xml:space="preserve">Online nahi mila - dealer quote chahiye. Licota/Yato PK listing nahi; sasta alt: Yato 8500</t>
  </si>
  <si>
    <t xml:space="preserve">MECHANICAL PULLER 3 ARMED 250X250</t>
  </si>
  <si>
    <t xml:space="preserve">goldentools.ae Licota 3-jaw 6in AED 120 scaled to 10in</t>
  </si>
  <si>
    <t xml:space="preserve">Online nahi mila - dealer quote chahiye. Licota/Yato PK listing nahi; sasta alt: Yato 19030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</si>
  <si>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</si>
  <si>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</si>
  <si>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</si>
  <si>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</si>
  <si>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</si>
  <si>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</si>
  <si>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</si>
  <si>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toolsmart Licota grease gun 7,760 (air premium)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</si>
  <si>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</si>
  <si>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</si>
  <si>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</si>
  <si>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</si>
  <si>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</si>
  <si>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</si>
  <si>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</si>
  <si>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Online nahi mila - dealer quote chahiye. steel 100m (alt Total fibreglass 100m toolsmart 5,250</t>
  </si>
  <si>
    <t xml:space="preserve">STEEL MEASURMENT TAPE 50M</t>
  </si>
  <si>
    <t xml:space="preserve">Online nahi mila - dealer quote chahiye. Licota/Yato PK listing nahi; sasta alt: Ingco 5920</t>
  </si>
  <si>
    <t xml:space="preserve">ALIGNING PRY BAR DIA 5/8" X 18" LENGTH</t>
  </si>
  <si>
    <t xml:space="preserve">Online nahi mila - dealer quote chahiye. pry bar</t>
  </si>
  <si>
    <t xml:space="preserve">ADJUSTABLE WRENCH 15"</t>
  </si>
  <si>
    <t xml:space="preserve">toolsmart Licota 10" 5,310; Total 15" 3,700-3,890</t>
  </si>
  <si>
    <t xml:space="preserve">Online nahi mila - dealer quote chahiye. Licota/Yato PK listing nahi; sasta alt: Total 3890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</si>
  <si>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</si>
  <si>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</si>
  <si>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</si>
  <si>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</si>
  <si>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</si>
  <si>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</si>
  <si>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</si>
  <si>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</si>
  <si>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</si>
  <si>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</si>
  <si>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Online nahi mila - dealer quote chahiye. Licota/Yato PK listing nahi; sasta alt: Total 1000</t>
  </si>
  <si>
    <t xml:space="preserve">HSS COBALT DRILL SET 1-13MM 25 PCS</t>
  </si>
  <si>
    <t xml:space="preserve">Dormer A095 (HSS-Co)</t>
  </si>
  <si>
    <t xml:space="preserve">Dormer 25pc 1-13mm set - PK listing n/a (UK/US list scaled)</t>
  </si>
  <si>
    <t xml:space="preserve">Online nahi mila - dealer quote chahiye. Dormer 25pc cobalt set; alt Ingco AKD1251 M2 22,185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</si>
  <si>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</si>
  <si>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</si>
  <si>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</si>
  <si>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</si>
  <si>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</si>
  <si>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</si>
  <si>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Dormer A130 14mm: khmtools.com.ph PHP list x4.95 (+30% PK import); toolsmart.pk A130 range from 5,880</t>
  </si>
  <si>
    <t xml:space="preserve">HSS DRILL BIT 15MM TAPER SHANK</t>
  </si>
  <si>
    <t xml:space="preserve">Dormer A130 15mm: khmtools.com.ph PHP list x4.95 (+30% PK import); toolsmart.pk A130 range from 5,880</t>
  </si>
  <si>
    <t xml:space="preserve">HSS DRILL BIT 15.5MM TAPER SHANK</t>
  </si>
  <si>
    <t xml:space="preserve">Dormer A130 15.5mm: khmtools.com.ph PHP list x4.95 (+30% PK import); toolsmart.pk A130 range from 5,880</t>
  </si>
  <si>
    <t xml:space="preserve">HSS DRILL BIT 16MM TAPER SHANK</t>
  </si>
  <si>
    <t xml:space="preserve">Dormer A130 16mm: khmtools.com.ph PHP list x4.95 (+30% PK import); toolsmart.pk A130 range from 5,880</t>
  </si>
  <si>
    <t xml:space="preserve">HSS DRILL BIT 16.5MM TAPER SHANK</t>
  </si>
  <si>
    <t xml:space="preserve">Dormer A130 16.5mm: khmtools.com.ph PHP list x4.95 (+30% PK import); toolsmart.pk A130 range from 5,880</t>
  </si>
  <si>
    <t xml:space="preserve">HSS DRILL BIT 17MM TAPER SHANK</t>
  </si>
  <si>
    <t xml:space="preserve">Dormer A130 17mm: khmtools.com.ph PHP list x4.95 (+30% PK import); toolsmart.pk A130 range from 5,880</t>
  </si>
  <si>
    <t xml:space="preserve">HSS DRILL BIT 17.5MM TAPER SHANK</t>
  </si>
  <si>
    <t xml:space="preserve">Dormer A130 17.5mm: khmtools.com.ph PHP list x4.95 (+30% PK import); toolsmart.pk A130 range from 5,880</t>
  </si>
  <si>
    <t xml:space="preserve">HSS DRILL BIT 19MM TAPER SHANK</t>
  </si>
  <si>
    <t xml:space="preserve">Dormer A130 19mm: khmtools.com.ph PHP list x4.95 (+30% PK import); toolsmart.pk A130 range from 5,880</t>
  </si>
  <si>
    <t xml:space="preserve">HSS DRILL BIT 21MM TAPER SHANK</t>
  </si>
  <si>
    <t xml:space="preserve">Dormer A130 21mm: khmtools.com.ph PHP list x4.95 (+30% PK import); toolsmart.pk A130 range from 5,880</t>
  </si>
  <si>
    <t xml:space="preserve">HSS DRILL BIT 25MM TAPER SHANK</t>
  </si>
  <si>
    <t xml:space="preserve">Dormer A130 25mm: khmtools.com.ph PHP list x4.95 (+30% PK import); toolsmart.pk A130 range from 5,880</t>
  </si>
  <si>
    <t xml:space="preserve">HSS DRILL BIT 30MM TAPER SHANK</t>
  </si>
  <si>
    <t xml:space="preserve">Dormer A130 30mm: khmtools.com.ph PHP list x4.95 (+30% PK import); toolsmart.pk A130 range from 5,880</t>
  </si>
  <si>
    <t xml:space="preserve">HSS DRILL BIT 32MM TAPER SHANK</t>
  </si>
  <si>
    <t xml:space="preserve">Dormer A130 32mm: khmtools.com.ph PHP list x4.95 (+30% PK import); toolsmart.pk A130 range from 5,880</t>
  </si>
  <si>
    <t xml:space="preserve">HSS DRILL BIT 35MM TAPER SHANK</t>
  </si>
  <si>
    <t xml:space="preserve">Dormer A130 35mm: khmtools.com.ph PHP list x4.95 (+30% PK import); toolsmart.pk A130 range from 5,880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</si>
  <si>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</si>
  <si>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</si>
  <si>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</si>
  <si>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</si>
  <si>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</si>
  <si>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</si>
  <si>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</si>
  <si>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</si>
  <si>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</si>
  <si>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</si>
  <si>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</si>
  <si>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</si>
  <si>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</si>
  <si>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</si>
  <si>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</si>
  <si>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</si>
  <si>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</si>
  <si>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</si>
  <si>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</si>
  <si>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</si>
  <si>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</si>
  <si>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</si>
  <si>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</si>
  <si>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</si>
  <si>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</si>
  <si>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</si>
  <si>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</si>
  <si>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Online nahi mila - dealer quote chahiye. Licota/Yato PK listing nahi; sasta alt: Total 2420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</si>
  <si>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</si>
  <si>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</si>
  <si>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</si>
  <si>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Online nahi mila - dealer quote chahiye. Licota/Yato PK listing nahi; sasta alt: Total 3350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</si>
  <si>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</si>
  <si>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</si>
  <si>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</si>
  <si>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Online nahi mila - dealer quote chahiye. 150mm square</t>
  </si>
  <si>
    <t xml:space="preserve">CARBON STEEL RIGHT ANGLE 300MM</t>
  </si>
  <si>
    <t xml:space="preserve">Insize square est (industrybuying 2280-300 INR ref)</t>
  </si>
  <si>
    <t xml:space="preserve">Online nahi mila - dealer quote chahiye. Licota/Yato PK listing nahi; sasta alt: Harden 3125</t>
  </si>
  <si>
    <t xml:space="preserve">GAS CUTTING TORCH MEDIUM 6-50MM</t>
  </si>
  <si>
    <t xml:space="preserve">Harris type / Industrial</t>
  </si>
  <si>
    <t xml:space="preserve">Online nahi mila - dealer quote chahiye. cutting torch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</si>
  <si>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</si>
  <si>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</si>
  <si>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</si>
  <si>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</si>
  <si>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</si>
  <si>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</si>
  <si>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</si>
  <si>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</si>
  <si>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</si>
  <si>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</si>
  <si>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</si>
  <si>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</si>
  <si>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</si>
  <si>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</si>
  <si>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</si>
  <si>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</si>
  <si>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</si>
  <si>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Online nahi mila - dealer quote chahiye. 300A AC/DC; houseoftools WACTA20 126,000 amps n/a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</si>
  <si>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</si>
  <si>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</si>
  <si>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</si>
  <si>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</si>
  <si>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</si>
  <si>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</si>
  <si>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</si>
  <si>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</si>
  <si>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</si>
  <si>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</si>
  <si>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</si>
  <si>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</si>
  <si>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</si>
  <si>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</si>
  <si>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</si>
  <si>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</si>
  <si>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</si>
  <si>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</si>
  <si>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</si>
  <si>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</si>
  <si>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</si>
  <si>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</si>
  <si>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</si>
  <si>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</si>
  <si>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</si>
  <si>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</si>
  <si>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</si>
  <si>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</si>
  <si>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</si>
  <si>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</si>
  <si>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</si>
  <si>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</si>
  <si>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</si>
  <si>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</si>
  <si>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</si>
  <si>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</si>
  <si>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</si>
  <si>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</si>
  <si>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Licota gasket scraper est (UAE ref)</t>
  </si>
  <si>
    <t xml:space="preserve">Online nahi mila - dealer quote chahiye. Licota/Yato PK listing nahi; sasta alt: Tolsen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</si>
  <si>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</si>
  <si>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</si>
  <si>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</si>
  <si>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</si>
  <si>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</si>
  <si>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</si>
  <si>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</si>
  <si>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</si>
  <si>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</si>
  <si>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</si>
  <si>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</si>
  <si>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</si>
  <si>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</si>
  <si>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</si>
  <si>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</si>
  <si>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</si>
  <si>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</si>
  <si>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</si>
  <si>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</si>
  <si>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</si>
  <si>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</si>
  <si>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</si>
  <si>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</si>
  <si>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</si>
  <si>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</si>
  <si>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</si>
  <si>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</si>
  <si>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</si>
  <si>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</si>
  <si>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</si>
  <si>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</si>
  <si>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</si>
  <si>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</si>
  <si>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</si>
  <si>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</si>
  <si>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</si>
  <si>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</si>
  <si>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</si>
  <si>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</si>
  <si>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</si>
  <si>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</si>
  <si>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Generic</t>
  </si>
  <si>
    <t xml:space="preserve">Online nahi mila - dealer quote chahiye. 4x25 1000pc; alt Ingco 4x10 300pc purchaser 794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</si>
  <si>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</si>
  <si>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</si>
  <si>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</si>
  <si>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</si>
  <si>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</si>
  <si>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</si>
  <si>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</si>
  <si>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</si>
  <si>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</si>
  <si>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</si>
  <si>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</si>
  <si>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</si>
  <si>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</si>
  <si>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</si>
  <si>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</si>
  <si>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</si>
  <si>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</si>
  <si>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</si>
  <si>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</si>
  <si>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</si>
  <si>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</si>
  <si>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</si>
  <si>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</si>
  <si>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</si>
  <si>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</si>
  <si>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</si>
  <si>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</si>
  <si>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</si>
  <si>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END MILL CUTTER SIZE 5MM</t>
  </si>
  <si>
    <t xml:space="preserve">Dormer C-series HSS-Co</t>
  </si>
  <si>
    <t xml:space="preserve">khmtools.com.ph Dormer C247 4mm 1,010 / 8mm 1,400 PHP scaled x4.95 (+30%)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</si>
  <si>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</si>
  <si>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</si>
  <si>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</si>
  <si>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</si>
  <si>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</si>
  <si>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</si>
  <si>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</si>
  <si>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</si>
  <si>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</si>
  <si>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</si>
  <si>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</si>
  <si>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</si>
  <si>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</si>
  <si>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</si>
  <si>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</si>
  <si>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</si>
  <si>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</si>
  <si>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</si>
  <si>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</si>
  <si>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</si>
  <si>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Yato YT-65049</t>
  </si>
  <si>
    <t xml:space="preserve">Yato UK GBP250; Total 8" PK 17,999</t>
  </si>
  <si>
    <t xml:space="preserve">Online nahi mila - dealer quote chahiye. Licota/Yato PK listing nahi; sasta alt: Ingco 31300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</si>
  <si>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</si>
  <si>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</si>
  <si>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</si>
  <si>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</si>
  <si>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</si>
  <si>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Dormer HSS toolbit - PK listing n/a, est ~1.8x generic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</si>
  <si>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</si>
  <si>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</si>
  <si>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</si>
  <si>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</si>
  <si>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</si>
  <si>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</si>
  <si>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</si>
  <si>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Online nahi mila - dealer quote chahiye. Licota/Yato PK listing nahi; sasta alt: Ronix 5950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</si>
  <si>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</si>
  <si>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</si>
  <si>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</si>
  <si>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</si>
  <si>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</si>
  <si>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</si>
  <si>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</si>
  <si>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</si>
  <si>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Online nahi mila - dealer quote chahiye. earth clamp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</si>
  <si>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</si>
  <si>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</si>
  <si>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</si>
  <si>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</si>
  <si>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</si>
  <si>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</si>
  <si>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</si>
  <si>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</si>
  <si>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</si>
  <si>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</si>
  <si>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</si>
  <si>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toolsmart.pk Dormer A002 1-10mm from 900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</si>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</sst>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34</v>
      </c>
      <c r="R8" s="7" t="s">
        <v>35</v>
      </c>
    </row>
    <row r="9" customFormat="false" ht="22.3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1500</v>
      </c>
      <c r="H9" s="9" t="n">
        <v>2500</v>
      </c>
      <c r="I9" s="10" t="n">
        <f aca="false">IF(E9=0,0,(E9-H9)/E9)</f>
        <v>-2.4965034965035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2880</v>
      </c>
      <c r="L9" s="8" t="n">
        <f aca="false">D9*E9</f>
        <v>35750</v>
      </c>
      <c r="M9" s="8" t="n">
        <f aca="false">D9*K9</f>
        <v>144000</v>
      </c>
      <c r="N9" s="8" t="n">
        <f aca="false">D9*H9</f>
        <v>125000</v>
      </c>
      <c r="O9" s="6" t="str">
        <f aca="false">IF(ISNUMBER(SEARCH(C9,F9)),"","YES")</f>
        <v>YES</v>
      </c>
      <c r="P9" s="6" t="s">
        <v>24</v>
      </c>
      <c r="Q9" s="7" t="s">
        <v>38</v>
      </c>
      <c r="R9" s="7" t="s">
        <v>39</v>
      </c>
    </row>
    <row r="10" customFormat="false" ht="22.35" hidden="false" customHeight="false" outlineLevel="0" collapsed="false">
      <c r="A10" s="6" t="n">
        <v>5</v>
      </c>
      <c r="B10" s="7" t="s">
        <v>40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34</v>
      </c>
      <c r="R10" s="7" t="s">
        <v>35</v>
      </c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43</v>
      </c>
      <c r="Q11" s="7" t="s">
        <v>44</v>
      </c>
      <c r="R11" s="7"/>
    </row>
    <row r="12" customFormat="false" ht="15" hidden="false" customHeight="false" outlineLevel="0" collapsed="false">
      <c r="A12" s="6" t="n">
        <v>7</v>
      </c>
      <c r="B12" s="7" t="s">
        <v>45</v>
      </c>
      <c r="C12" s="6" t="s">
        <v>22</v>
      </c>
      <c r="D12" s="6" t="n">
        <v>24</v>
      </c>
      <c r="E12" s="8" t="n">
        <v>507</v>
      </c>
      <c r="F12" s="7" t="s">
        <v>46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43</v>
      </c>
      <c r="Q12" s="7" t="s">
        <v>47</v>
      </c>
      <c r="R12" s="7"/>
    </row>
    <row r="13" customFormat="false" ht="32.8" hidden="false" customHeight="false" outlineLevel="0" collapsed="false">
      <c r="A13" s="6" t="n">
        <v>8</v>
      </c>
      <c r="B13" s="7" t="s">
        <v>48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8" t="n">
        <f aca="false">IF(J13="OVERPRICED?",ROUND(H13*1.35,-1),MAX(E13,ROUND(H13*(1+$E$3),-1)))</f>
        <v>313310</v>
      </c>
      <c r="L13" s="8" t="n">
        <f aca="false">D13*E13</f>
        <v>483210</v>
      </c>
      <c r="M13" s="8" t="n">
        <f aca="false">D13*K13</f>
        <v>939930</v>
      </c>
      <c r="N13" s="8" t="n">
        <f aca="false">D13*H13</f>
        <v>817320</v>
      </c>
      <c r="O13" s="6" t="str">
        <f aca="false">IF(ISNUMBER(SEARCH(C13,F13)),"","YES")</f>
        <v/>
      </c>
      <c r="P13" s="6" t="s">
        <v>43</v>
      </c>
      <c r="Q13" s="7" t="s">
        <v>49</v>
      </c>
      <c r="R13" s="7"/>
    </row>
    <row r="14" customFormat="false" ht="32.8" hidden="false" customHeight="false" outlineLevel="0" collapsed="false">
      <c r="A14" s="6" t="n">
        <v>9</v>
      </c>
      <c r="B14" s="7" t="s">
        <v>50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51</v>
      </c>
      <c r="Q14" s="7" t="s">
        <v>52</v>
      </c>
      <c r="R14" s="7" t="s">
        <v>53</v>
      </c>
    </row>
    <row r="15" customFormat="false" ht="32.8" hidden="false" customHeight="false" outlineLevel="0" collapsed="false">
      <c r="A15" s="6" t="n">
        <v>10</v>
      </c>
      <c r="B15" s="7" t="s">
        <v>54</v>
      </c>
      <c r="C15" s="6" t="s">
        <v>28</v>
      </c>
      <c r="D15" s="6" t="n">
        <v>4</v>
      </c>
      <c r="E15" s="8" t="n">
        <v>15600</v>
      </c>
      <c r="F15" s="7" t="s">
        <v>28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24</v>
      </c>
      <c r="Q15" s="7" t="s">
        <v>55</v>
      </c>
      <c r="R15" s="7" t="s">
        <v>56</v>
      </c>
    </row>
    <row r="16" customFormat="false" ht="15" hidden="false" customHeight="false" outlineLevel="0" collapsed="false">
      <c r="A16" s="6" t="n">
        <v>11</v>
      </c>
      <c r="B16" s="7" t="s">
        <v>57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43</v>
      </c>
      <c r="Q16" s="7" t="s">
        <v>58</v>
      </c>
      <c r="R16" s="7"/>
    </row>
    <row r="17" customFormat="false" ht="22.35" hidden="false" customHeight="false" outlineLevel="0" collapsed="false">
      <c r="A17" s="6" t="n">
        <v>12</v>
      </c>
      <c r="B17" s="7" t="s">
        <v>59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43</v>
      </c>
      <c r="Q17" s="7" t="s">
        <v>60</v>
      </c>
      <c r="R17" s="7"/>
    </row>
    <row r="18" customFormat="false" ht="32.8" hidden="false" customHeight="false" outlineLevel="0" collapsed="false">
      <c r="A18" s="6" t="n">
        <v>13</v>
      </c>
      <c r="B18" s="7" t="s">
        <v>61</v>
      </c>
      <c r="C18" s="6" t="s">
        <v>28</v>
      </c>
      <c r="D18" s="6" t="n">
        <v>4</v>
      </c>
      <c r="E18" s="8" t="n">
        <v>22100</v>
      </c>
      <c r="F18" s="7" t="s">
        <v>28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24</v>
      </c>
      <c r="Q18" s="7" t="s">
        <v>62</v>
      </c>
      <c r="R18" s="7" t="s">
        <v>63</v>
      </c>
    </row>
    <row r="19" customFormat="false" ht="15" hidden="false" customHeight="false" outlineLevel="0" collapsed="false">
      <c r="A19" s="6" t="n">
        <v>14</v>
      </c>
      <c r="B19" s="7" t="s">
        <v>64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43</v>
      </c>
      <c r="Q19" s="7" t="s">
        <v>65</v>
      </c>
      <c r="R19" s="7"/>
    </row>
    <row r="20" customFormat="false" ht="15" hidden="false" customHeight="false" outlineLevel="0" collapsed="false">
      <c r="A20" s="6" t="n">
        <v>15</v>
      </c>
      <c r="B20" s="7" t="s">
        <v>66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43</v>
      </c>
      <c r="Q20" s="7" t="s">
        <v>67</v>
      </c>
      <c r="R20" s="7"/>
    </row>
    <row r="21" customFormat="false" ht="32.8" hidden="false" customHeight="false" outlineLevel="0" collapsed="false">
      <c r="A21" s="6" t="n">
        <v>16</v>
      </c>
      <c r="B21" s="7" t="s">
        <v>68</v>
      </c>
      <c r="C21" s="6" t="s">
        <v>28</v>
      </c>
      <c r="D21" s="6" t="n">
        <v>4</v>
      </c>
      <c r="E21" s="8" t="n">
        <v>8450</v>
      </c>
      <c r="F21" s="7" t="s">
        <v>28</v>
      </c>
      <c r="G21" s="9" t="n">
        <v>12000</v>
      </c>
      <c r="H21" s="9" t="n">
        <v>16000</v>
      </c>
      <c r="I21" s="10" t="n">
        <f aca="false">IF(E21=0,0,(E21-H21)/E21)</f>
        <v>-0.893491124260355</v>
      </c>
      <c r="J21" s="6" t="str">
        <f aca="false">IF(E21&lt;G21,"LOSS",IF(E21&lt;H21*1.1,"THIN / RISK",IF(E21&gt;H21*1.8,"OVERPRICED?","OK")))</f>
        <v>LOSS</v>
      </c>
      <c r="K21" s="8" t="n">
        <f aca="false">IF(J21="OVERPRICED?",ROUND(H21*1.35,-1),MAX(E21,ROUND(H21*(1+$E$3),-1)))</f>
        <v>18400</v>
      </c>
      <c r="L21" s="8" t="n">
        <f aca="false">D21*E21</f>
        <v>33800</v>
      </c>
      <c r="M21" s="8" t="n">
        <f aca="false">D21*K21</f>
        <v>73600</v>
      </c>
      <c r="N21" s="8" t="n">
        <f aca="false">D21*H21</f>
        <v>64000</v>
      </c>
      <c r="O21" s="6" t="str">
        <f aca="false">IF(ISNUMBER(SEARCH(C21,F21)),"","YES")</f>
        <v/>
      </c>
      <c r="P21" s="6" t="s">
        <v>24</v>
      </c>
      <c r="Q21" s="7" t="s">
        <v>69</v>
      </c>
      <c r="R21" s="7" t="s">
        <v>70</v>
      </c>
    </row>
    <row r="22" customFormat="false" ht="15" hidden="false" customHeight="false" outlineLevel="0" collapsed="false">
      <c r="A22" s="6" t="n">
        <v>17</v>
      </c>
      <c r="B22" s="7" t="s">
        <v>71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43</v>
      </c>
      <c r="Q22" s="7" t="s">
        <v>72</v>
      </c>
      <c r="R22" s="7"/>
    </row>
    <row r="23" customFormat="false" ht="32.8" hidden="false" customHeight="false" outlineLevel="0" collapsed="false">
      <c r="A23" s="6" t="n">
        <v>18</v>
      </c>
      <c r="B23" s="7" t="s">
        <v>73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2000</v>
      </c>
      <c r="H23" s="9" t="n">
        <v>3000</v>
      </c>
      <c r="I23" s="10" t="n">
        <f aca="false">IF(E23=0,0,(E23-H23)/E23)</f>
        <v>-0.625135427952329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3450</v>
      </c>
      <c r="L23" s="8" t="n">
        <f aca="false">D23*E23</f>
        <v>7384</v>
      </c>
      <c r="M23" s="8" t="n">
        <f aca="false">D23*K23</f>
        <v>13800</v>
      </c>
      <c r="N23" s="8" t="n">
        <f aca="false">D23*H23</f>
        <v>12000</v>
      </c>
      <c r="O23" s="6" t="str">
        <f aca="false">IF(ISNUMBER(SEARCH(C23,F23)),"","YES")</f>
        <v/>
      </c>
      <c r="P23" s="6" t="s">
        <v>24</v>
      </c>
      <c r="Q23" s="7" t="s">
        <v>74</v>
      </c>
      <c r="R23" s="7" t="s">
        <v>75</v>
      </c>
    </row>
    <row r="24" customFormat="false" ht="15" hidden="false" customHeight="false" outlineLevel="0" collapsed="false">
      <c r="A24" s="6" t="n">
        <v>19</v>
      </c>
      <c r="B24" s="7" t="s">
        <v>76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43</v>
      </c>
      <c r="Q24" s="7" t="s">
        <v>77</v>
      </c>
      <c r="R24" s="7"/>
    </row>
    <row r="25" customFormat="false" ht="15" hidden="false" customHeight="false" outlineLevel="0" collapsed="false">
      <c r="A25" s="6" t="n">
        <v>20</v>
      </c>
      <c r="B25" s="7" t="s">
        <v>78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1100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24</v>
      </c>
      <c r="Q25" s="7" t="s">
        <v>79</v>
      </c>
      <c r="R25" s="7" t="s">
        <v>31</v>
      </c>
    </row>
    <row r="26" customFormat="false" ht="15" hidden="false" customHeight="false" outlineLevel="0" collapsed="false">
      <c r="A26" s="6" t="n">
        <v>21</v>
      </c>
      <c r="B26" s="7" t="s">
        <v>80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1400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81</v>
      </c>
      <c r="R26" s="7" t="s">
        <v>31</v>
      </c>
    </row>
    <row r="27" customFormat="false" ht="15" hidden="false" customHeight="false" outlineLevel="0" collapsed="false">
      <c r="A27" s="6" t="n">
        <v>22</v>
      </c>
      <c r="B27" s="7" t="s">
        <v>82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1800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81</v>
      </c>
      <c r="R27" s="7" t="s">
        <v>31</v>
      </c>
    </row>
    <row r="28" customFormat="false" ht="22.35" hidden="false" customHeight="false" outlineLevel="0" collapsed="false">
      <c r="A28" s="6" t="n">
        <v>23</v>
      </c>
      <c r="B28" s="7" t="s">
        <v>83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43</v>
      </c>
      <c r="Q28" s="7" t="s">
        <v>84</v>
      </c>
      <c r="R28" s="7"/>
    </row>
    <row r="29" customFormat="false" ht="22.35" hidden="false" customHeight="false" outlineLevel="0" collapsed="false">
      <c r="A29" s="6" t="n">
        <v>24</v>
      </c>
      <c r="B29" s="7" t="s">
        <v>85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43</v>
      </c>
      <c r="Q29" s="7" t="s">
        <v>84</v>
      </c>
      <c r="R29" s="7"/>
    </row>
    <row r="30" customFormat="false" ht="22.35" hidden="false" customHeight="false" outlineLevel="0" collapsed="false">
      <c r="A30" s="6" t="n">
        <v>25</v>
      </c>
      <c r="B30" s="7" t="s">
        <v>86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43</v>
      </c>
      <c r="Q30" s="7" t="s">
        <v>84</v>
      </c>
      <c r="R30" s="7"/>
    </row>
    <row r="31" customFormat="false" ht="22.35" hidden="false" customHeight="false" outlineLevel="0" collapsed="false">
      <c r="A31" s="6" t="n">
        <v>26</v>
      </c>
      <c r="B31" s="7" t="s">
        <v>87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43</v>
      </c>
      <c r="Q31" s="7" t="s">
        <v>84</v>
      </c>
      <c r="R31" s="7"/>
    </row>
    <row r="32" customFormat="false" ht="22.35" hidden="false" customHeight="false" outlineLevel="0" collapsed="false">
      <c r="A32" s="6" t="n">
        <v>27</v>
      </c>
      <c r="B32" s="7" t="s">
        <v>88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4000</v>
      </c>
      <c r="H32" s="9" t="n">
        <v>4800</v>
      </c>
      <c r="I32" s="10" t="n">
        <f aca="false">IF(E32=0,0,(E32-H32)/E32)</f>
        <v>0.289940828402367</v>
      </c>
      <c r="J32" s="6" t="str">
        <f aca="false">IF(E32&lt;G32,"LOSS",IF(E32&lt;H32*1.1,"THIN / RISK",IF(E32&gt;H32*1.8,"OVERPRICED?","OK")))</f>
        <v>OK</v>
      </c>
      <c r="K32" s="8" t="n">
        <f aca="false">IF(J32="OVERPRICED?",ROUND(H32*1.35,-1),MAX(E32,ROUND(H32*(1+$E$3),-1)))</f>
        <v>6760</v>
      </c>
      <c r="L32" s="8" t="n">
        <f aca="false">D32*E32</f>
        <v>27040</v>
      </c>
      <c r="M32" s="8" t="n">
        <f aca="false">D32*K32</f>
        <v>27040</v>
      </c>
      <c r="N32" s="8" t="n">
        <f aca="false">D32*H32</f>
        <v>19200</v>
      </c>
      <c r="O32" s="6" t="str">
        <f aca="false">IF(ISNUMBER(SEARCH(C32,F32)),"","YES")</f>
        <v/>
      </c>
      <c r="P32" s="6" t="s">
        <v>24</v>
      </c>
      <c r="Q32" s="7" t="s">
        <v>89</v>
      </c>
      <c r="R32" s="7" t="s">
        <v>90</v>
      </c>
    </row>
    <row r="33" customFormat="false" ht="22.35" hidden="false" customHeight="false" outlineLevel="0" collapsed="false">
      <c r="A33" s="6" t="n">
        <v>28</v>
      </c>
      <c r="B33" s="7" t="s">
        <v>91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4000</v>
      </c>
      <c r="H33" s="9" t="n">
        <v>4800</v>
      </c>
      <c r="I33" s="10" t="n">
        <f aca="false">IF(E33=0,0,(E33-H33)/E33)</f>
        <v>0.289940828402367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14400</v>
      </c>
      <c r="O33" s="6" t="str">
        <f aca="false">IF(ISNUMBER(SEARCH(C33,F33)),"","YES")</f>
        <v/>
      </c>
      <c r="P33" s="6" t="s">
        <v>24</v>
      </c>
      <c r="Q33" s="7" t="s">
        <v>89</v>
      </c>
      <c r="R33" s="7" t="s">
        <v>90</v>
      </c>
    </row>
    <row r="34" customFormat="false" ht="15" hidden="false" customHeight="false" outlineLevel="0" collapsed="false">
      <c r="A34" s="6" t="n">
        <v>30</v>
      </c>
      <c r="B34" s="7" t="s">
        <v>92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43</v>
      </c>
      <c r="Q34" s="7" t="s">
        <v>93</v>
      </c>
      <c r="R34" s="7"/>
    </row>
    <row r="35" customFormat="false" ht="22.35" hidden="false" customHeight="false" outlineLevel="0" collapsed="false">
      <c r="A35" s="6" t="n">
        <v>31</v>
      </c>
      <c r="B35" s="7" t="s">
        <v>94</v>
      </c>
      <c r="C35" s="6" t="s">
        <v>28</v>
      </c>
      <c r="D35" s="6" t="n">
        <v>3</v>
      </c>
      <c r="E35" s="8" t="n">
        <v>2210</v>
      </c>
      <c r="F35" s="7" t="s">
        <v>28</v>
      </c>
      <c r="G35" s="9" t="n">
        <v>4000</v>
      </c>
      <c r="H35" s="9" t="n">
        <v>4500</v>
      </c>
      <c r="I35" s="10" t="n">
        <f aca="false">IF(E35=0,0,(E35-H35)/E35)</f>
        <v>-1.03619909502262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5180</v>
      </c>
      <c r="L35" s="8" t="n">
        <f aca="false">D35*E35</f>
        <v>6630</v>
      </c>
      <c r="M35" s="8" t="n">
        <f aca="false">D35*K35</f>
        <v>15540</v>
      </c>
      <c r="N35" s="8" t="n">
        <f aca="false">D35*H35</f>
        <v>13500</v>
      </c>
      <c r="O35" s="6" t="str">
        <f aca="false">IF(ISNUMBER(SEARCH(C35,F35)),"","YES")</f>
        <v/>
      </c>
      <c r="P35" s="6" t="s">
        <v>24</v>
      </c>
      <c r="Q35" s="7" t="s">
        <v>95</v>
      </c>
      <c r="R35" s="7" t="s">
        <v>96</v>
      </c>
    </row>
    <row r="36" customFormat="false" ht="32.8" hidden="false" customHeight="false" outlineLevel="0" collapsed="false">
      <c r="A36" s="6" t="n">
        <v>32</v>
      </c>
      <c r="B36" s="7" t="s">
        <v>97</v>
      </c>
      <c r="C36" s="6" t="s">
        <v>28</v>
      </c>
      <c r="D36" s="6" t="n">
        <v>3</v>
      </c>
      <c r="E36" s="8" t="n">
        <v>2886</v>
      </c>
      <c r="F36" s="7" t="s">
        <v>28</v>
      </c>
      <c r="G36" s="9" t="n">
        <v>5200</v>
      </c>
      <c r="H36" s="9" t="n">
        <v>5800</v>
      </c>
      <c r="I36" s="10" t="n">
        <f aca="false">IF(E36=0,0,(E36-H36)/E36)</f>
        <v>-1.00970200970201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6670</v>
      </c>
      <c r="L36" s="8" t="n">
        <f aca="false">D36*E36</f>
        <v>8658</v>
      </c>
      <c r="M36" s="8" t="n">
        <f aca="false">D36*K36</f>
        <v>20010</v>
      </c>
      <c r="N36" s="8" t="n">
        <f aca="false">D36*H36</f>
        <v>17400</v>
      </c>
      <c r="O36" s="6" t="str">
        <f aca="false">IF(ISNUMBER(SEARCH(C36,F36)),"","YES")</f>
        <v/>
      </c>
      <c r="P36" s="6" t="s">
        <v>24</v>
      </c>
      <c r="Q36" s="7" t="s">
        <v>95</v>
      </c>
      <c r="R36" s="7" t="s">
        <v>98</v>
      </c>
    </row>
    <row r="37" customFormat="false" ht="15" hidden="false" customHeight="false" outlineLevel="0" collapsed="false">
      <c r="A37" s="6" t="n">
        <v>33</v>
      </c>
      <c r="B37" s="7" t="s">
        <v>99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43</v>
      </c>
      <c r="Q37" s="7" t="s">
        <v>100</v>
      </c>
      <c r="R37" s="7"/>
    </row>
    <row r="38" customFormat="false" ht="32.8" hidden="false" customHeight="false" outlineLevel="0" collapsed="false">
      <c r="A38" s="6" t="n">
        <v>34</v>
      </c>
      <c r="B38" s="7" t="s">
        <v>101</v>
      </c>
      <c r="C38" s="6" t="s">
        <v>28</v>
      </c>
      <c r="D38" s="6" t="n">
        <v>2</v>
      </c>
      <c r="E38" s="8" t="n">
        <v>6120</v>
      </c>
      <c r="F38" s="7" t="s">
        <v>28</v>
      </c>
      <c r="G38" s="9" t="n">
        <v>14000</v>
      </c>
      <c r="H38" s="9" t="n">
        <v>15500</v>
      </c>
      <c r="I38" s="10" t="n">
        <f aca="false">IF(E38=0,0,(E38-H38)/E38)</f>
        <v>-1.53267973856209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17830</v>
      </c>
      <c r="L38" s="8" t="n">
        <f aca="false">D38*E38</f>
        <v>12240</v>
      </c>
      <c r="M38" s="8" t="n">
        <f aca="false">D38*K38</f>
        <v>35660</v>
      </c>
      <c r="N38" s="8" t="n">
        <f aca="false">D38*H38</f>
        <v>31000</v>
      </c>
      <c r="O38" s="6" t="str">
        <f aca="false">IF(ISNUMBER(SEARCH(C38,F38)),"","YES")</f>
        <v/>
      </c>
      <c r="P38" s="6" t="s">
        <v>24</v>
      </c>
      <c r="Q38" s="7" t="s">
        <v>95</v>
      </c>
      <c r="R38" s="7" t="s">
        <v>102</v>
      </c>
    </row>
    <row r="39" customFormat="false" ht="22.35" hidden="false" customHeight="false" outlineLevel="0" collapsed="false">
      <c r="A39" s="6" t="n">
        <v>35</v>
      </c>
      <c r="B39" s="7" t="s">
        <v>103</v>
      </c>
      <c r="C39" s="6" t="s">
        <v>28</v>
      </c>
      <c r="D39" s="6" t="n">
        <v>2</v>
      </c>
      <c r="E39" s="8" t="n">
        <v>12870</v>
      </c>
      <c r="F39" s="7" t="s">
        <v>28</v>
      </c>
      <c r="G39" s="9" t="n">
        <v>26000</v>
      </c>
      <c r="H39" s="9" t="n">
        <v>29000</v>
      </c>
      <c r="I39" s="10" t="n">
        <f aca="false">IF(E39=0,0,(E39-H39)/E39)</f>
        <v>-1.25330225330225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33350</v>
      </c>
      <c r="L39" s="8" t="n">
        <f aca="false">D39*E39</f>
        <v>25740</v>
      </c>
      <c r="M39" s="8" t="n">
        <f aca="false">D39*K39</f>
        <v>66700</v>
      </c>
      <c r="N39" s="8" t="n">
        <f aca="false">D39*H39</f>
        <v>58000</v>
      </c>
      <c r="O39" s="6" t="str">
        <f aca="false">IF(ISNUMBER(SEARCH(C39,F39)),"","YES")</f>
        <v/>
      </c>
      <c r="P39" s="6" t="s">
        <v>24</v>
      </c>
      <c r="Q39" s="7" t="s">
        <v>95</v>
      </c>
      <c r="R39" s="7" t="s">
        <v>104</v>
      </c>
    </row>
    <row r="40" customFormat="false" ht="22.35" hidden="false" customHeight="false" outlineLevel="0" collapsed="false">
      <c r="A40" s="6" t="n">
        <v>36</v>
      </c>
      <c r="B40" s="7" t="s">
        <v>105</v>
      </c>
      <c r="C40" s="6" t="s">
        <v>28</v>
      </c>
      <c r="D40" s="6" t="n">
        <v>3</v>
      </c>
      <c r="E40" s="8" t="n">
        <v>1950</v>
      </c>
      <c r="F40" s="7" t="s">
        <v>28</v>
      </c>
      <c r="G40" s="9" t="n">
        <v>5000</v>
      </c>
      <c r="H40" s="9" t="n">
        <v>6000</v>
      </c>
      <c r="I40" s="10" t="n">
        <f aca="false">IF(E40=0,0,(E40-H40)/E40)</f>
        <v>-2.07692307692308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6900</v>
      </c>
      <c r="L40" s="8" t="n">
        <f aca="false">D40*E40</f>
        <v>5850</v>
      </c>
      <c r="M40" s="8" t="n">
        <f aca="false">D40*K40</f>
        <v>20700</v>
      </c>
      <c r="N40" s="8" t="n">
        <f aca="false">D40*H40</f>
        <v>18000</v>
      </c>
      <c r="O40" s="6" t="str">
        <f aca="false">IF(ISNUMBER(SEARCH(C40,F40)),"","YES")</f>
        <v/>
      </c>
      <c r="P40" s="6" t="s">
        <v>24</v>
      </c>
      <c r="Q40" s="7" t="s">
        <v>106</v>
      </c>
      <c r="R40" s="7" t="s">
        <v>107</v>
      </c>
    </row>
    <row r="41" customFormat="false" ht="32.8" hidden="false" customHeight="false" outlineLevel="0" collapsed="false">
      <c r="A41" s="6" t="n">
        <v>37</v>
      </c>
      <c r="B41" s="7" t="s">
        <v>108</v>
      </c>
      <c r="C41" s="6" t="s">
        <v>28</v>
      </c>
      <c r="D41" s="6" t="n">
        <v>3</v>
      </c>
      <c r="E41" s="8" t="n">
        <v>4550</v>
      </c>
      <c r="F41" s="7" t="s">
        <v>28</v>
      </c>
      <c r="G41" s="9" t="n">
        <v>8500</v>
      </c>
      <c r="H41" s="9" t="n">
        <v>9500</v>
      </c>
      <c r="I41" s="10" t="n">
        <f aca="false">IF(E41=0,0,(E41-H41)/E41)</f>
        <v>-1.08791208791209</v>
      </c>
      <c r="J41" s="6" t="str">
        <f aca="false">IF(E41&lt;G41,"LOSS",IF(E41&lt;H41*1.1,"THIN / RISK",IF(E41&gt;H41*1.8,"OVERPRICED?","OK")))</f>
        <v>LOSS</v>
      </c>
      <c r="K41" s="8" t="n">
        <f aca="false">IF(J41="OVERPRICED?",ROUND(H41*1.35,-1),MAX(E41,ROUND(H41*(1+$E$3),-1)))</f>
        <v>10930</v>
      </c>
      <c r="L41" s="8" t="n">
        <f aca="false">D41*E41</f>
        <v>13650</v>
      </c>
      <c r="M41" s="8" t="n">
        <f aca="false">D41*K41</f>
        <v>32790</v>
      </c>
      <c r="N41" s="8" t="n">
        <f aca="false">D41*H41</f>
        <v>28500</v>
      </c>
      <c r="O41" s="6" t="str">
        <f aca="false">IF(ISNUMBER(SEARCH(C41,F41)),"","YES")</f>
        <v/>
      </c>
      <c r="P41" s="6" t="s">
        <v>24</v>
      </c>
      <c r="Q41" s="7" t="s">
        <v>109</v>
      </c>
      <c r="R41" s="7" t="s">
        <v>110</v>
      </c>
    </row>
    <row r="42" customFormat="false" ht="32.8" hidden="false" customHeight="false" outlineLevel="0" collapsed="false">
      <c r="A42" s="6" t="n">
        <v>38</v>
      </c>
      <c r="B42" s="7" t="s">
        <v>111</v>
      </c>
      <c r="C42" s="6" t="s">
        <v>28</v>
      </c>
      <c r="D42" s="6" t="n">
        <v>3</v>
      </c>
      <c r="E42" s="8" t="n">
        <v>6240</v>
      </c>
      <c r="F42" s="7" t="s">
        <v>28</v>
      </c>
      <c r="G42" s="9" t="n">
        <v>6500</v>
      </c>
      <c r="H42" s="9" t="n">
        <v>7500</v>
      </c>
      <c r="I42" s="10" t="n">
        <f aca="false">IF(E42=0,0,(E42-H42)/E42)</f>
        <v>-0.201923076923077</v>
      </c>
      <c r="J42" s="6" t="str">
        <f aca="false">IF(E42&lt;G42,"LOSS",IF(E42&lt;H42*1.1,"THIN / RISK",IF(E42&gt;H42*1.8,"OVERPRICED?","OK")))</f>
        <v>LOSS</v>
      </c>
      <c r="K42" s="8" t="n">
        <f aca="false">IF(J42="OVERPRICED?",ROUND(H42*1.35,-1),MAX(E42,ROUND(H42*(1+$E$3),-1)))</f>
        <v>8630</v>
      </c>
      <c r="L42" s="8" t="n">
        <f aca="false">D42*E42</f>
        <v>18720</v>
      </c>
      <c r="M42" s="8" t="n">
        <f aca="false">D42*K42</f>
        <v>25890</v>
      </c>
      <c r="N42" s="8" t="n">
        <f aca="false">D42*H42</f>
        <v>22500</v>
      </c>
      <c r="O42" s="6" t="str">
        <f aca="false">IF(ISNUMBER(SEARCH(C42,F42)),"","YES")</f>
        <v/>
      </c>
      <c r="P42" s="6" t="s">
        <v>24</v>
      </c>
      <c r="Q42" s="7" t="s">
        <v>112</v>
      </c>
      <c r="R42" s="7" t="s">
        <v>113</v>
      </c>
    </row>
    <row r="43" customFormat="false" ht="22.35" hidden="false" customHeight="false" outlineLevel="0" collapsed="false">
      <c r="A43" s="6" t="n">
        <v>39</v>
      </c>
      <c r="B43" s="7" t="s">
        <v>114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3500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24</v>
      </c>
      <c r="Q43" s="7" t="s">
        <v>115</v>
      </c>
      <c r="R43" s="7" t="s">
        <v>116</v>
      </c>
    </row>
    <row r="44" customFormat="false" ht="22.35" hidden="false" customHeight="false" outlineLevel="0" collapsed="false">
      <c r="A44" s="6" t="n">
        <v>40</v>
      </c>
      <c r="B44" s="7" t="s">
        <v>117</v>
      </c>
      <c r="C44" s="6" t="s">
        <v>118</v>
      </c>
      <c r="D44" s="6" t="n">
        <v>3</v>
      </c>
      <c r="E44" s="8" t="n">
        <v>79300</v>
      </c>
      <c r="F44" s="7" t="s">
        <v>118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43</v>
      </c>
      <c r="Q44" s="7" t="s">
        <v>119</v>
      </c>
      <c r="R44" s="7"/>
    </row>
    <row r="45" customFormat="false" ht="22.35" hidden="false" customHeight="false" outlineLevel="0" collapsed="false">
      <c r="A45" s="6" t="n">
        <v>41</v>
      </c>
      <c r="B45" s="7" t="s">
        <v>120</v>
      </c>
      <c r="C45" s="6" t="s">
        <v>118</v>
      </c>
      <c r="D45" s="6" t="n">
        <v>3</v>
      </c>
      <c r="E45" s="8" t="n">
        <v>128700</v>
      </c>
      <c r="F45" s="7" t="s">
        <v>121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24</v>
      </c>
      <c r="Q45" s="7" t="s">
        <v>122</v>
      </c>
      <c r="R45" s="7" t="s">
        <v>123</v>
      </c>
    </row>
    <row r="46" customFormat="false" ht="22.35" hidden="false" customHeight="false" outlineLevel="0" collapsed="false">
      <c r="A46" s="6" t="n">
        <v>42</v>
      </c>
      <c r="B46" s="7" t="s">
        <v>124</v>
      </c>
      <c r="C46" s="6" t="s">
        <v>118</v>
      </c>
      <c r="D46" s="6" t="n">
        <v>2</v>
      </c>
      <c r="E46" s="8" t="n">
        <v>106600</v>
      </c>
      <c r="F46" s="7" t="s">
        <v>118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43</v>
      </c>
      <c r="Q46" s="7" t="s">
        <v>125</v>
      </c>
      <c r="R46" s="7"/>
    </row>
    <row r="47" customFormat="false" ht="22.35" hidden="false" customHeight="false" outlineLevel="0" collapsed="false">
      <c r="A47" s="6" t="n">
        <v>43</v>
      </c>
      <c r="B47" s="7" t="s">
        <v>126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1800</v>
      </c>
      <c r="H47" s="9" t="n">
        <v>2200</v>
      </c>
      <c r="I47" s="10" t="n">
        <f aca="false">IF(E47=0,0,(E47-H47)/E47)</f>
        <v>-0.41025641025641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2530</v>
      </c>
      <c r="L47" s="8" t="n">
        <f aca="false">D47*E47</f>
        <v>6240</v>
      </c>
      <c r="M47" s="8" t="n">
        <f aca="false">D47*K47</f>
        <v>10120</v>
      </c>
      <c r="N47" s="8" t="n">
        <f aca="false">D47*H47</f>
        <v>8800</v>
      </c>
      <c r="O47" s="6" t="str">
        <f aca="false">IF(ISNUMBER(SEARCH(C47,F47)),"","YES")</f>
        <v/>
      </c>
      <c r="P47" s="6" t="s">
        <v>24</v>
      </c>
      <c r="Q47" s="7" t="s">
        <v>127</v>
      </c>
      <c r="R47" s="7" t="s">
        <v>31</v>
      </c>
    </row>
    <row r="48" customFormat="false" ht="15" hidden="false" customHeight="false" outlineLevel="0" collapsed="false">
      <c r="A48" s="6" t="n">
        <v>44</v>
      </c>
      <c r="B48" s="7" t="s">
        <v>128</v>
      </c>
      <c r="C48" s="6" t="s">
        <v>28</v>
      </c>
      <c r="D48" s="6" t="n">
        <v>4</v>
      </c>
      <c r="E48" s="8" t="n">
        <v>1950</v>
      </c>
      <c r="F48" s="7" t="s">
        <v>129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43</v>
      </c>
      <c r="Q48" s="7" t="s">
        <v>130</v>
      </c>
      <c r="R48" s="7"/>
    </row>
    <row r="49" customFormat="false" ht="22.35" hidden="false" customHeight="false" outlineLevel="0" collapsed="false">
      <c r="A49" s="6" t="n">
        <v>45</v>
      </c>
      <c r="B49" s="7" t="s">
        <v>131</v>
      </c>
      <c r="C49" s="6" t="s">
        <v>28</v>
      </c>
      <c r="D49" s="6" t="n">
        <v>4</v>
      </c>
      <c r="E49" s="8" t="n">
        <v>2210</v>
      </c>
      <c r="F49" s="7" t="s">
        <v>129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24</v>
      </c>
      <c r="Q49" s="7" t="s">
        <v>132</v>
      </c>
      <c r="R49" s="7" t="s">
        <v>133</v>
      </c>
    </row>
    <row r="50" customFormat="false" ht="22.35" hidden="false" customHeight="false" outlineLevel="0" collapsed="false">
      <c r="A50" s="6" t="n">
        <v>47</v>
      </c>
      <c r="B50" s="7" t="s">
        <v>134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135</v>
      </c>
      <c r="R50" s="7" t="s">
        <v>31</v>
      </c>
    </row>
    <row r="51" customFormat="false" ht="22.35" hidden="false" customHeight="false" outlineLevel="0" collapsed="false">
      <c r="A51" s="6" t="n">
        <v>48</v>
      </c>
      <c r="B51" s="7" t="s">
        <v>136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137</v>
      </c>
      <c r="R51" s="7" t="s">
        <v>31</v>
      </c>
    </row>
    <row r="52" customFormat="false" ht="15" hidden="false" customHeight="false" outlineLevel="0" collapsed="false">
      <c r="A52" s="6" t="n">
        <v>49</v>
      </c>
      <c r="B52" s="7" t="s">
        <v>138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137</v>
      </c>
      <c r="R52" s="7" t="s">
        <v>31</v>
      </c>
    </row>
    <row r="53" customFormat="false" ht="15" hidden="false" customHeight="false" outlineLevel="0" collapsed="false">
      <c r="A53" s="6" t="n">
        <v>50</v>
      </c>
      <c r="B53" s="7" t="s">
        <v>139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137</v>
      </c>
      <c r="R53" s="7" t="s">
        <v>31</v>
      </c>
    </row>
    <row r="54" customFormat="false" ht="22.35" hidden="false" customHeight="false" outlineLevel="0" collapsed="false">
      <c r="A54" s="6" t="n">
        <v>51</v>
      </c>
      <c r="B54" s="7" t="s">
        <v>140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141</v>
      </c>
      <c r="R54" s="7" t="s">
        <v>31</v>
      </c>
    </row>
    <row r="55" customFormat="false" ht="22.35" hidden="false" customHeight="false" outlineLevel="0" collapsed="false">
      <c r="A55" s="6" t="n">
        <v>52</v>
      </c>
      <c r="B55" s="7" t="s">
        <v>142</v>
      </c>
      <c r="C55" s="6" t="s">
        <v>28</v>
      </c>
      <c r="D55" s="6" t="n">
        <v>2</v>
      </c>
      <c r="E55" s="8" t="n">
        <v>18200</v>
      </c>
      <c r="F55" s="7" t="s">
        <v>28</v>
      </c>
      <c r="G55" s="9" t="n">
        <v>17000</v>
      </c>
      <c r="H55" s="9" t="n">
        <v>20000</v>
      </c>
      <c r="I55" s="10" t="n">
        <f aca="false">IF(E55=0,0,(E55-H55)/E55)</f>
        <v>-0.0989010989010989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23000</v>
      </c>
      <c r="L55" s="8" t="n">
        <f aca="false">D55*E55</f>
        <v>36400</v>
      </c>
      <c r="M55" s="8" t="n">
        <f aca="false">D55*K55</f>
        <v>46000</v>
      </c>
      <c r="N55" s="8" t="n">
        <f aca="false">D55*H55</f>
        <v>40000</v>
      </c>
      <c r="O55" s="6" t="str">
        <f aca="false">IF(ISNUMBER(SEARCH(C55,F55)),"","YES")</f>
        <v/>
      </c>
      <c r="P55" s="6" t="s">
        <v>24</v>
      </c>
      <c r="Q55" s="7" t="s">
        <v>143</v>
      </c>
      <c r="R55" s="7" t="s">
        <v>144</v>
      </c>
    </row>
    <row r="56" customFormat="false" ht="32.8" hidden="false" customHeight="false" outlineLevel="0" collapsed="false">
      <c r="A56" s="6" t="n">
        <v>53</v>
      </c>
      <c r="B56" s="7" t="s">
        <v>145</v>
      </c>
      <c r="C56" s="6" t="s">
        <v>28</v>
      </c>
      <c r="D56" s="6" t="n">
        <v>1</v>
      </c>
      <c r="E56" s="8" t="n">
        <v>23400</v>
      </c>
      <c r="F56" s="7" t="s">
        <v>28</v>
      </c>
      <c r="G56" s="9" t="n">
        <v>26000</v>
      </c>
      <c r="H56" s="9" t="n">
        <v>30000</v>
      </c>
      <c r="I56" s="10" t="n">
        <f aca="false">IF(E56=0,0,(E56-H56)/E56)</f>
        <v>-0.282051282051282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34500</v>
      </c>
      <c r="L56" s="8" t="n">
        <f aca="false">D56*E56</f>
        <v>23400</v>
      </c>
      <c r="M56" s="8" t="n">
        <f aca="false">D56*K56</f>
        <v>34500</v>
      </c>
      <c r="N56" s="8" t="n">
        <f aca="false">D56*H56</f>
        <v>30000</v>
      </c>
      <c r="O56" s="6" t="str">
        <f aca="false">IF(ISNUMBER(SEARCH(C56,F56)),"","YES")</f>
        <v/>
      </c>
      <c r="P56" s="6" t="s">
        <v>24</v>
      </c>
      <c r="Q56" s="7" t="s">
        <v>146</v>
      </c>
      <c r="R56" s="7" t="s">
        <v>147</v>
      </c>
    </row>
    <row r="57" customFormat="false" ht="22.35" hidden="false" customHeight="false" outlineLevel="0" collapsed="false">
      <c r="A57" s="6" t="n">
        <v>54</v>
      </c>
      <c r="B57" s="7" t="s">
        <v>148</v>
      </c>
      <c r="C57" s="6" t="s">
        <v>118</v>
      </c>
      <c r="D57" s="6" t="n">
        <v>2</v>
      </c>
      <c r="E57" s="8" t="n">
        <v>400946</v>
      </c>
      <c r="F57" s="7" t="s">
        <v>118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43</v>
      </c>
      <c r="Q57" s="7" t="s">
        <v>149</v>
      </c>
      <c r="R57" s="7"/>
    </row>
    <row r="58" customFormat="false" ht="22.35" hidden="false" customHeight="false" outlineLevel="0" collapsed="false">
      <c r="A58" s="6" t="n">
        <v>55</v>
      </c>
      <c r="B58" s="7" t="s">
        <v>150</v>
      </c>
      <c r="C58" s="6" t="s">
        <v>28</v>
      </c>
      <c r="D58" s="6" t="n">
        <v>2</v>
      </c>
      <c r="E58" s="8" t="n">
        <v>15600</v>
      </c>
      <c r="F58" s="7" t="s">
        <v>151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152</v>
      </c>
      <c r="R58" s="7" t="s">
        <v>153</v>
      </c>
    </row>
    <row r="59" customFormat="false" ht="22.35" hidden="false" customHeight="false" outlineLevel="0" collapsed="false">
      <c r="A59" s="6" t="n">
        <v>56</v>
      </c>
      <c r="B59" s="7" t="s">
        <v>154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24</v>
      </c>
      <c r="Q59" s="7" t="s">
        <v>155</v>
      </c>
      <c r="R59" s="7" t="s">
        <v>156</v>
      </c>
    </row>
    <row r="60" customFormat="false" ht="15" hidden="false" customHeight="false" outlineLevel="0" collapsed="false">
      <c r="A60" s="6" t="n">
        <v>57</v>
      </c>
      <c r="B60" s="7" t="s">
        <v>157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43</v>
      </c>
      <c r="Q60" s="7" t="s">
        <v>158</v>
      </c>
      <c r="R60" s="7"/>
    </row>
    <row r="61" customFormat="false" ht="15" hidden="false" customHeight="false" outlineLevel="0" collapsed="false">
      <c r="A61" s="6" t="n">
        <v>58</v>
      </c>
      <c r="B61" s="7" t="s">
        <v>159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152</v>
      </c>
      <c r="R61" s="7" t="s">
        <v>31</v>
      </c>
    </row>
    <row r="62" customFormat="false" ht="15" hidden="false" customHeight="false" outlineLevel="0" collapsed="false">
      <c r="A62" s="6" t="n">
        <v>59</v>
      </c>
      <c r="B62" s="7" t="s">
        <v>160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152</v>
      </c>
      <c r="R62" s="7" t="s">
        <v>31</v>
      </c>
    </row>
    <row r="63" customFormat="false" ht="22.35" hidden="false" customHeight="false" outlineLevel="0" collapsed="false">
      <c r="A63" s="6" t="n">
        <v>60</v>
      </c>
      <c r="B63" s="7" t="s">
        <v>161</v>
      </c>
      <c r="C63" s="6" t="s">
        <v>28</v>
      </c>
      <c r="D63" s="6" t="n">
        <v>2</v>
      </c>
      <c r="E63" s="8" t="n">
        <v>9100</v>
      </c>
      <c r="F63" s="7" t="s">
        <v>129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162</v>
      </c>
      <c r="R63" s="7" t="s">
        <v>163</v>
      </c>
    </row>
    <row r="64" customFormat="false" ht="32.8" hidden="false" customHeight="false" outlineLevel="0" collapsed="false">
      <c r="A64" s="6" t="n">
        <v>61</v>
      </c>
      <c r="B64" s="7" t="s">
        <v>164</v>
      </c>
      <c r="C64" s="6" t="s">
        <v>28</v>
      </c>
      <c r="D64" s="6" t="n">
        <v>2</v>
      </c>
      <c r="E64" s="8" t="n">
        <v>5850</v>
      </c>
      <c r="F64" s="7" t="s">
        <v>129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24</v>
      </c>
      <c r="Q64" s="7" t="s">
        <v>152</v>
      </c>
      <c r="R64" s="7" t="s">
        <v>165</v>
      </c>
    </row>
    <row r="65" customFormat="false" ht="15" hidden="false" customHeight="false" outlineLevel="0" collapsed="false">
      <c r="A65" s="6" t="n">
        <v>62</v>
      </c>
      <c r="B65" s="7" t="s">
        <v>166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152</v>
      </c>
      <c r="R65" s="7" t="s">
        <v>167</v>
      </c>
    </row>
    <row r="66" customFormat="false" ht="22.35" hidden="false" customHeight="false" outlineLevel="0" collapsed="false">
      <c r="A66" s="6" t="n">
        <v>63</v>
      </c>
      <c r="B66" s="7" t="s">
        <v>168</v>
      </c>
      <c r="C66" s="6" t="s">
        <v>28</v>
      </c>
      <c r="D66" s="6" t="n">
        <v>1</v>
      </c>
      <c r="E66" s="8" t="n">
        <v>5551</v>
      </c>
      <c r="F66" s="7" t="s">
        <v>28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24</v>
      </c>
      <c r="Q66" s="7" t="s">
        <v>169</v>
      </c>
      <c r="R66" s="7" t="s">
        <v>170</v>
      </c>
    </row>
    <row r="67" customFormat="false" ht="15" hidden="false" customHeight="false" outlineLevel="0" collapsed="false">
      <c r="A67" s="6" t="n">
        <v>64</v>
      </c>
      <c r="B67" s="7" t="s">
        <v>171</v>
      </c>
      <c r="C67" s="6" t="s">
        <v>28</v>
      </c>
      <c r="D67" s="6" t="n">
        <v>3</v>
      </c>
      <c r="E67" s="8" t="n">
        <v>1560</v>
      </c>
      <c r="F67" s="7" t="s">
        <v>129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43</v>
      </c>
      <c r="Q67" s="7" t="s">
        <v>172</v>
      </c>
      <c r="R67" s="7"/>
    </row>
    <row r="68" customFormat="false" ht="15" hidden="false" customHeight="false" outlineLevel="0" collapsed="false">
      <c r="A68" s="6" t="n">
        <v>65</v>
      </c>
      <c r="B68" s="7" t="s">
        <v>173</v>
      </c>
      <c r="C68" s="6" t="s">
        <v>28</v>
      </c>
      <c r="D68" s="6" t="n">
        <v>3</v>
      </c>
      <c r="E68" s="8" t="n">
        <v>1560</v>
      </c>
      <c r="F68" s="7" t="s">
        <v>129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43</v>
      </c>
      <c r="Q68" s="7" t="s">
        <v>172</v>
      </c>
      <c r="R68" s="7"/>
    </row>
    <row r="69" customFormat="false" ht="15" hidden="false" customHeight="false" outlineLevel="0" collapsed="false">
      <c r="A69" s="6" t="n">
        <v>66</v>
      </c>
      <c r="B69" s="7" t="s">
        <v>174</v>
      </c>
      <c r="C69" s="6" t="s">
        <v>28</v>
      </c>
      <c r="D69" s="6" t="n">
        <v>2</v>
      </c>
      <c r="E69" s="8" t="n">
        <v>11700</v>
      </c>
      <c r="F69" s="7" t="s">
        <v>175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152</v>
      </c>
      <c r="R69" s="7" t="s">
        <v>31</v>
      </c>
    </row>
    <row r="70" customFormat="false" ht="15" hidden="false" customHeight="false" outlineLevel="0" collapsed="false">
      <c r="A70" s="6" t="n">
        <v>67</v>
      </c>
      <c r="B70" s="7" t="s">
        <v>176</v>
      </c>
      <c r="C70" s="6" t="s">
        <v>28</v>
      </c>
      <c r="D70" s="6" t="n">
        <v>2</v>
      </c>
      <c r="E70" s="8" t="n">
        <v>9750</v>
      </c>
      <c r="F70" s="7" t="s">
        <v>175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152</v>
      </c>
      <c r="R70" s="7" t="s">
        <v>31</v>
      </c>
    </row>
    <row r="71" customFormat="false" ht="15" hidden="false" customHeight="false" outlineLevel="0" collapsed="false">
      <c r="A71" s="6" t="n">
        <v>69</v>
      </c>
      <c r="B71" s="7" t="s">
        <v>177</v>
      </c>
      <c r="C71" s="6" t="s">
        <v>28</v>
      </c>
      <c r="D71" s="6" t="n">
        <v>2</v>
      </c>
      <c r="E71" s="8" t="n">
        <v>23400</v>
      </c>
      <c r="F71" s="7" t="s">
        <v>178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152</v>
      </c>
      <c r="R71" s="7" t="s">
        <v>31</v>
      </c>
    </row>
    <row r="72" customFormat="false" ht="15" hidden="false" customHeight="false" outlineLevel="0" collapsed="false">
      <c r="A72" s="6" t="n">
        <v>70</v>
      </c>
      <c r="B72" s="7" t="s">
        <v>179</v>
      </c>
      <c r="C72" s="6" t="s">
        <v>28</v>
      </c>
      <c r="D72" s="6" t="n">
        <v>1</v>
      </c>
      <c r="E72" s="8" t="n">
        <v>32500</v>
      </c>
      <c r="F72" s="7" t="s">
        <v>178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152</v>
      </c>
      <c r="R72" s="7" t="s">
        <v>31</v>
      </c>
    </row>
    <row r="73" customFormat="false" ht="22.35" hidden="false" customHeight="false" outlineLevel="0" collapsed="false">
      <c r="A73" s="6" t="n">
        <v>71</v>
      </c>
      <c r="B73" s="7" t="s">
        <v>180</v>
      </c>
      <c r="C73" s="6" t="s">
        <v>28</v>
      </c>
      <c r="D73" s="6" t="n">
        <v>1</v>
      </c>
      <c r="E73" s="8" t="n">
        <v>1105</v>
      </c>
      <c r="F73" s="7" t="s">
        <v>129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24</v>
      </c>
      <c r="Q73" s="7" t="s">
        <v>152</v>
      </c>
      <c r="R73" s="7" t="s">
        <v>181</v>
      </c>
    </row>
    <row r="74" customFormat="false" ht="22.35" hidden="false" customHeight="false" outlineLevel="0" collapsed="false">
      <c r="A74" s="6" t="n">
        <v>73</v>
      </c>
      <c r="B74" s="7" t="s">
        <v>182</v>
      </c>
      <c r="C74" s="6" t="s">
        <v>28</v>
      </c>
      <c r="D74" s="6" t="n">
        <v>1</v>
      </c>
      <c r="E74" s="8" t="n">
        <v>45500</v>
      </c>
      <c r="F74" s="7" t="s">
        <v>183</v>
      </c>
      <c r="G74" s="9" t="n">
        <v>35000</v>
      </c>
      <c r="H74" s="9" t="n">
        <v>55000</v>
      </c>
      <c r="I74" s="10" t="n">
        <f aca="false">IF(E74=0,0,(E74-H74)/E74)</f>
        <v>-0.208791208791209</v>
      </c>
      <c r="J74" s="6" t="str">
        <f aca="false">IF(E74&lt;G74,"LOSS",IF(E74&lt;H74*1.1,"THIN / RISK",IF(E74&gt;H74*1.8,"OVERPRICED?","OK")))</f>
        <v>THIN / RISK</v>
      </c>
      <c r="K74" s="8" t="n">
        <f aca="false">IF(J74="OVERPRICED?",ROUND(H74*1.35,-1),MAX(E74,ROUND(H74*(1+$E$3),-1)))</f>
        <v>63250</v>
      </c>
      <c r="L74" s="8" t="n">
        <f aca="false">D74*E74</f>
        <v>45500</v>
      </c>
      <c r="M74" s="8" t="n">
        <f aca="false">D74*K74</f>
        <v>63250</v>
      </c>
      <c r="N74" s="8" t="n">
        <f aca="false">D74*H74</f>
        <v>55000</v>
      </c>
      <c r="O74" s="6" t="str">
        <f aca="false">IF(ISNUMBER(SEARCH(C74,F74)),"","YES")</f>
        <v>YES</v>
      </c>
      <c r="P74" s="6" t="s">
        <v>24</v>
      </c>
      <c r="Q74" s="7" t="s">
        <v>184</v>
      </c>
      <c r="R74" s="7" t="s">
        <v>185</v>
      </c>
    </row>
    <row r="75" customFormat="false" ht="22.35" hidden="false" customHeight="false" outlineLevel="0" collapsed="false">
      <c r="A75" s="6" t="n">
        <v>74</v>
      </c>
      <c r="B75" s="7" t="s">
        <v>186</v>
      </c>
      <c r="C75" s="6" t="s">
        <v>28</v>
      </c>
      <c r="D75" s="6" t="n">
        <v>2</v>
      </c>
      <c r="E75" s="8" t="n">
        <v>23400</v>
      </c>
      <c r="F75" s="7" t="s">
        <v>187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24</v>
      </c>
      <c r="Q75" s="7" t="s">
        <v>188</v>
      </c>
      <c r="R75" s="7" t="s">
        <v>189</v>
      </c>
    </row>
    <row r="76" customFormat="false" ht="32.8" hidden="false" customHeight="false" outlineLevel="0" collapsed="false">
      <c r="A76" s="6" t="n">
        <v>75</v>
      </c>
      <c r="B76" s="7" t="s">
        <v>190</v>
      </c>
      <c r="C76" s="6" t="s">
        <v>28</v>
      </c>
      <c r="D76" s="6" t="n">
        <v>2</v>
      </c>
      <c r="E76" s="8" t="n">
        <v>1950</v>
      </c>
      <c r="F76" s="7" t="s">
        <v>191</v>
      </c>
      <c r="G76" s="9" t="n">
        <v>9790</v>
      </c>
      <c r="H76" s="9" t="n">
        <v>12730</v>
      </c>
      <c r="I76" s="10" t="n">
        <f aca="false">IF(E76=0,0,(E76-H76)/E76)</f>
        <v>-5.52820512820513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14640</v>
      </c>
      <c r="L76" s="8" t="n">
        <f aca="false">D76*E76</f>
        <v>3900</v>
      </c>
      <c r="M76" s="8" t="n">
        <f aca="false">D76*K76</f>
        <v>29280</v>
      </c>
      <c r="N76" s="8" t="n">
        <f aca="false">D76*H76</f>
        <v>25460</v>
      </c>
      <c r="O76" s="6" t="str">
        <f aca="false">IF(ISNUMBER(SEARCH(C76,F76)),"","YES")</f>
        <v>YES</v>
      </c>
      <c r="P76" s="6" t="s">
        <v>24</v>
      </c>
      <c r="Q76" s="7" t="s">
        <v>192</v>
      </c>
      <c r="R76" s="7" t="s">
        <v>31</v>
      </c>
    </row>
    <row r="77" customFormat="false" ht="32.8" hidden="false" customHeight="false" outlineLevel="0" collapsed="false">
      <c r="A77" s="6" t="n">
        <v>76</v>
      </c>
      <c r="B77" s="7" t="s">
        <v>193</v>
      </c>
      <c r="C77" s="6" t="s">
        <v>28</v>
      </c>
      <c r="D77" s="6" t="n">
        <v>2</v>
      </c>
      <c r="E77" s="8" t="n">
        <v>2080</v>
      </c>
      <c r="F77" s="7" t="s">
        <v>191</v>
      </c>
      <c r="G77" s="9" t="n">
        <v>11060</v>
      </c>
      <c r="H77" s="9" t="n">
        <v>14380</v>
      </c>
      <c r="I77" s="10" t="n">
        <f aca="false">IF(E77=0,0,(E77-H77)/E77)</f>
        <v>-5.91346153846154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16540</v>
      </c>
      <c r="L77" s="8" t="n">
        <f aca="false">D77*E77</f>
        <v>4160</v>
      </c>
      <c r="M77" s="8" t="n">
        <f aca="false">D77*K77</f>
        <v>33080</v>
      </c>
      <c r="N77" s="8" t="n">
        <f aca="false">D77*H77</f>
        <v>28760</v>
      </c>
      <c r="O77" s="6" t="str">
        <f aca="false">IF(ISNUMBER(SEARCH(C77,F77)),"","YES")</f>
        <v>YES</v>
      </c>
      <c r="P77" s="6" t="s">
        <v>24</v>
      </c>
      <c r="Q77" s="7" t="s">
        <v>194</v>
      </c>
      <c r="R77" s="7" t="s">
        <v>31</v>
      </c>
    </row>
    <row r="78" customFormat="false" ht="32.8" hidden="false" customHeight="false" outlineLevel="0" collapsed="false">
      <c r="A78" s="6" t="n">
        <v>77</v>
      </c>
      <c r="B78" s="7" t="s">
        <v>195</v>
      </c>
      <c r="C78" s="6" t="s">
        <v>28</v>
      </c>
      <c r="D78" s="6" t="n">
        <v>2</v>
      </c>
      <c r="E78" s="8" t="n">
        <v>2210</v>
      </c>
      <c r="F78" s="7" t="s">
        <v>191</v>
      </c>
      <c r="G78" s="9" t="n">
        <v>11700</v>
      </c>
      <c r="H78" s="9" t="n">
        <v>15210</v>
      </c>
      <c r="I78" s="10" t="n">
        <f aca="false">IF(E78=0,0,(E78-H78)/E78)</f>
        <v>-5.88235294117647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17490</v>
      </c>
      <c r="L78" s="8" t="n">
        <f aca="false">D78*E78</f>
        <v>4420</v>
      </c>
      <c r="M78" s="8" t="n">
        <f aca="false">D78*K78</f>
        <v>34980</v>
      </c>
      <c r="N78" s="8" t="n">
        <f aca="false">D78*H78</f>
        <v>30420</v>
      </c>
      <c r="O78" s="6" t="str">
        <f aca="false">IF(ISNUMBER(SEARCH(C78,F78)),"","YES")</f>
        <v>YES</v>
      </c>
      <c r="P78" s="6" t="s">
        <v>24</v>
      </c>
      <c r="Q78" s="7" t="s">
        <v>196</v>
      </c>
      <c r="R78" s="7" t="s">
        <v>31</v>
      </c>
    </row>
    <row r="79" customFormat="false" ht="32.8" hidden="false" customHeight="false" outlineLevel="0" collapsed="false">
      <c r="A79" s="6" t="n">
        <v>78</v>
      </c>
      <c r="B79" s="7" t="s">
        <v>197</v>
      </c>
      <c r="C79" s="6" t="s">
        <v>28</v>
      </c>
      <c r="D79" s="6" t="n">
        <v>2</v>
      </c>
      <c r="E79" s="8" t="n">
        <v>2340</v>
      </c>
      <c r="F79" s="7" t="s">
        <v>191</v>
      </c>
      <c r="G79" s="9" t="n">
        <v>12330</v>
      </c>
      <c r="H79" s="9" t="n">
        <v>16030</v>
      </c>
      <c r="I79" s="10" t="n">
        <f aca="false">IF(E79=0,0,(E79-H79)/E79)</f>
        <v>-5.85042735042735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18430</v>
      </c>
      <c r="L79" s="8" t="n">
        <f aca="false">D79*E79</f>
        <v>4680</v>
      </c>
      <c r="M79" s="8" t="n">
        <f aca="false">D79*K79</f>
        <v>36860</v>
      </c>
      <c r="N79" s="8" t="n">
        <f aca="false">D79*H79</f>
        <v>32060</v>
      </c>
      <c r="O79" s="6" t="str">
        <f aca="false">IF(ISNUMBER(SEARCH(C79,F79)),"","YES")</f>
        <v>YES</v>
      </c>
      <c r="P79" s="6" t="s">
        <v>24</v>
      </c>
      <c r="Q79" s="7" t="s">
        <v>198</v>
      </c>
      <c r="R79" s="7" t="s">
        <v>31</v>
      </c>
    </row>
    <row r="80" customFormat="false" ht="32.8" hidden="false" customHeight="false" outlineLevel="0" collapsed="false">
      <c r="A80" s="6" t="n">
        <v>79</v>
      </c>
      <c r="B80" s="7" t="s">
        <v>199</v>
      </c>
      <c r="C80" s="6" t="s">
        <v>28</v>
      </c>
      <c r="D80" s="6" t="n">
        <v>2</v>
      </c>
      <c r="E80" s="8" t="n">
        <v>2470</v>
      </c>
      <c r="F80" s="7" t="s">
        <v>191</v>
      </c>
      <c r="G80" s="9" t="n">
        <v>12970</v>
      </c>
      <c r="H80" s="9" t="n">
        <v>16860</v>
      </c>
      <c r="I80" s="10" t="n">
        <f aca="false">IF(E80=0,0,(E80-H80)/E80)</f>
        <v>-5.82591093117409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19390</v>
      </c>
      <c r="L80" s="8" t="n">
        <f aca="false">D80*E80</f>
        <v>4940</v>
      </c>
      <c r="M80" s="8" t="n">
        <f aca="false">D80*K80</f>
        <v>38780</v>
      </c>
      <c r="N80" s="8" t="n">
        <f aca="false">D80*H80</f>
        <v>33720</v>
      </c>
      <c r="O80" s="6" t="str">
        <f aca="false">IF(ISNUMBER(SEARCH(C80,F80)),"","YES")</f>
        <v>YES</v>
      </c>
      <c r="P80" s="6" t="s">
        <v>24</v>
      </c>
      <c r="Q80" s="7" t="s">
        <v>200</v>
      </c>
      <c r="R80" s="7" t="s">
        <v>31</v>
      </c>
    </row>
    <row r="81" customFormat="false" ht="32.8" hidden="false" customHeight="false" outlineLevel="0" collapsed="false">
      <c r="A81" s="6" t="n">
        <v>80</v>
      </c>
      <c r="B81" s="7" t="s">
        <v>201</v>
      </c>
      <c r="C81" s="6" t="s">
        <v>28</v>
      </c>
      <c r="D81" s="6" t="n">
        <v>2</v>
      </c>
      <c r="E81" s="8" t="n">
        <v>2600</v>
      </c>
      <c r="F81" s="7" t="s">
        <v>191</v>
      </c>
      <c r="G81" s="9" t="n">
        <v>13600</v>
      </c>
      <c r="H81" s="9" t="n">
        <v>17680</v>
      </c>
      <c r="I81" s="10" t="n">
        <f aca="false">IF(E81=0,0,(E81-H81)/E81)</f>
        <v>-5.8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20330</v>
      </c>
      <c r="L81" s="8" t="n">
        <f aca="false">D81*E81</f>
        <v>5200</v>
      </c>
      <c r="M81" s="8" t="n">
        <f aca="false">D81*K81</f>
        <v>40660</v>
      </c>
      <c r="N81" s="8" t="n">
        <f aca="false">D81*H81</f>
        <v>35360</v>
      </c>
      <c r="O81" s="6" t="str">
        <f aca="false">IF(ISNUMBER(SEARCH(C81,F81)),"","YES")</f>
        <v>YES</v>
      </c>
      <c r="P81" s="6" t="s">
        <v>24</v>
      </c>
      <c r="Q81" s="7" t="s">
        <v>202</v>
      </c>
      <c r="R81" s="7" t="s">
        <v>31</v>
      </c>
    </row>
    <row r="82" customFormat="false" ht="32.8" hidden="false" customHeight="false" outlineLevel="0" collapsed="false">
      <c r="A82" s="6" t="n">
        <v>81</v>
      </c>
      <c r="B82" s="7" t="s">
        <v>203</v>
      </c>
      <c r="C82" s="6" t="s">
        <v>28</v>
      </c>
      <c r="D82" s="6" t="n">
        <v>2</v>
      </c>
      <c r="E82" s="8" t="n">
        <v>2730</v>
      </c>
      <c r="F82" s="7" t="s">
        <v>191</v>
      </c>
      <c r="G82" s="9" t="n">
        <v>14240</v>
      </c>
      <c r="H82" s="9" t="n">
        <v>18510</v>
      </c>
      <c r="I82" s="10" t="n">
        <f aca="false">IF(E82=0,0,(E82-H82)/E82)</f>
        <v>-5.78021978021978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21290</v>
      </c>
      <c r="L82" s="8" t="n">
        <f aca="false">D82*E82</f>
        <v>5460</v>
      </c>
      <c r="M82" s="8" t="n">
        <f aca="false">D82*K82</f>
        <v>42580</v>
      </c>
      <c r="N82" s="8" t="n">
        <f aca="false">D82*H82</f>
        <v>37020</v>
      </c>
      <c r="O82" s="6" t="str">
        <f aca="false">IF(ISNUMBER(SEARCH(C82,F82)),"","YES")</f>
        <v>YES</v>
      </c>
      <c r="P82" s="6" t="s">
        <v>24</v>
      </c>
      <c r="Q82" s="7" t="s">
        <v>204</v>
      </c>
      <c r="R82" s="7" t="s">
        <v>31</v>
      </c>
    </row>
    <row r="83" customFormat="false" ht="32.8" hidden="false" customHeight="false" outlineLevel="0" collapsed="false">
      <c r="A83" s="6" t="n">
        <v>82</v>
      </c>
      <c r="B83" s="7" t="s">
        <v>205</v>
      </c>
      <c r="C83" s="6" t="s">
        <v>28</v>
      </c>
      <c r="D83" s="6" t="n">
        <v>2</v>
      </c>
      <c r="E83" s="8" t="n">
        <v>3250</v>
      </c>
      <c r="F83" s="7" t="s">
        <v>191</v>
      </c>
      <c r="G83" s="9" t="n">
        <v>16140</v>
      </c>
      <c r="H83" s="9" t="n">
        <v>20990</v>
      </c>
      <c r="I83" s="10" t="n">
        <f aca="false">IF(E83=0,0,(E83-H83)/E83)</f>
        <v>-5.45846153846154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24140</v>
      </c>
      <c r="L83" s="8" t="n">
        <f aca="false">D83*E83</f>
        <v>6500</v>
      </c>
      <c r="M83" s="8" t="n">
        <f aca="false">D83*K83</f>
        <v>48280</v>
      </c>
      <c r="N83" s="8" t="n">
        <f aca="false">D83*H83</f>
        <v>41980</v>
      </c>
      <c r="O83" s="6" t="str">
        <f aca="false">IF(ISNUMBER(SEARCH(C83,F83)),"","YES")</f>
        <v>YES</v>
      </c>
      <c r="P83" s="6" t="s">
        <v>24</v>
      </c>
      <c r="Q83" s="7" t="s">
        <v>206</v>
      </c>
      <c r="R83" s="7" t="s">
        <v>31</v>
      </c>
    </row>
    <row r="84" customFormat="false" ht="32.8" hidden="false" customHeight="false" outlineLevel="0" collapsed="false">
      <c r="A84" s="6" t="n">
        <v>83</v>
      </c>
      <c r="B84" s="7" t="s">
        <v>207</v>
      </c>
      <c r="C84" s="6" t="s">
        <v>28</v>
      </c>
      <c r="D84" s="6" t="n">
        <v>1</v>
      </c>
      <c r="E84" s="8" t="n">
        <v>4160</v>
      </c>
      <c r="F84" s="7" t="s">
        <v>191</v>
      </c>
      <c r="G84" s="9" t="n">
        <v>19230</v>
      </c>
      <c r="H84" s="9" t="n">
        <v>25000</v>
      </c>
      <c r="I84" s="10" t="n">
        <f aca="false">IF(E84=0,0,(E84-H84)/E84)</f>
        <v>-5.00961538461539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28750</v>
      </c>
      <c r="L84" s="8" t="n">
        <f aca="false">D84*E84</f>
        <v>4160</v>
      </c>
      <c r="M84" s="8" t="n">
        <f aca="false">D84*K84</f>
        <v>28750</v>
      </c>
      <c r="N84" s="8" t="n">
        <f aca="false">D84*H84</f>
        <v>25000</v>
      </c>
      <c r="O84" s="6" t="str">
        <f aca="false">IF(ISNUMBER(SEARCH(C84,F84)),"","YES")</f>
        <v>YES</v>
      </c>
      <c r="P84" s="6" t="s">
        <v>24</v>
      </c>
      <c r="Q84" s="7" t="s">
        <v>208</v>
      </c>
      <c r="R84" s="7" t="s">
        <v>31</v>
      </c>
    </row>
    <row r="85" customFormat="false" ht="32.8" hidden="false" customHeight="false" outlineLevel="0" collapsed="false">
      <c r="A85" s="6" t="n">
        <v>84</v>
      </c>
      <c r="B85" s="7" t="s">
        <v>209</v>
      </c>
      <c r="C85" s="6" t="s">
        <v>28</v>
      </c>
      <c r="D85" s="6" t="n">
        <v>1</v>
      </c>
      <c r="E85" s="8" t="n">
        <v>5850</v>
      </c>
      <c r="F85" s="7" t="s">
        <v>191</v>
      </c>
      <c r="G85" s="9" t="n">
        <v>26490</v>
      </c>
      <c r="H85" s="9" t="n">
        <v>34430</v>
      </c>
      <c r="I85" s="10" t="n">
        <f aca="false">IF(E85=0,0,(E85-H85)/E85)</f>
        <v>-4.88547008547009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39590</v>
      </c>
      <c r="L85" s="8" t="n">
        <f aca="false">D85*E85</f>
        <v>5850</v>
      </c>
      <c r="M85" s="8" t="n">
        <f aca="false">D85*K85</f>
        <v>39590</v>
      </c>
      <c r="N85" s="8" t="n">
        <f aca="false">D85*H85</f>
        <v>34430</v>
      </c>
      <c r="O85" s="6" t="str">
        <f aca="false">IF(ISNUMBER(SEARCH(C85,F85)),"","YES")</f>
        <v>YES</v>
      </c>
      <c r="P85" s="6" t="s">
        <v>24</v>
      </c>
      <c r="Q85" s="7" t="s">
        <v>210</v>
      </c>
      <c r="R85" s="7" t="s">
        <v>31</v>
      </c>
    </row>
    <row r="86" customFormat="false" ht="32.8" hidden="false" customHeight="false" outlineLevel="0" collapsed="false">
      <c r="A86" s="6" t="n">
        <v>85</v>
      </c>
      <c r="B86" s="7" t="s">
        <v>211</v>
      </c>
      <c r="C86" s="6" t="s">
        <v>28</v>
      </c>
      <c r="D86" s="6" t="n">
        <v>1</v>
      </c>
      <c r="E86" s="8" t="n">
        <v>8450</v>
      </c>
      <c r="F86" s="7" t="s">
        <v>191</v>
      </c>
      <c r="G86" s="9" t="n">
        <v>38450</v>
      </c>
      <c r="H86" s="9" t="n">
        <v>49980</v>
      </c>
      <c r="I86" s="10" t="n">
        <f aca="false">IF(E86=0,0,(E86-H86)/E86)</f>
        <v>-4.91479289940828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57480</v>
      </c>
      <c r="L86" s="8" t="n">
        <f aca="false">D86*E86</f>
        <v>8450</v>
      </c>
      <c r="M86" s="8" t="n">
        <f aca="false">D86*K86</f>
        <v>57480</v>
      </c>
      <c r="N86" s="8" t="n">
        <f aca="false">D86*H86</f>
        <v>49980</v>
      </c>
      <c r="O86" s="6" t="str">
        <f aca="false">IF(ISNUMBER(SEARCH(C86,F86)),"","YES")</f>
        <v>YES</v>
      </c>
      <c r="P86" s="6" t="s">
        <v>24</v>
      </c>
      <c r="Q86" s="7" t="s">
        <v>212</v>
      </c>
      <c r="R86" s="7" t="s">
        <v>31</v>
      </c>
    </row>
    <row r="87" customFormat="false" ht="32.8" hidden="false" customHeight="false" outlineLevel="0" collapsed="false">
      <c r="A87" s="6" t="n">
        <v>86</v>
      </c>
      <c r="B87" s="7" t="s">
        <v>213</v>
      </c>
      <c r="C87" s="6" t="s">
        <v>28</v>
      </c>
      <c r="D87" s="6" t="n">
        <v>1</v>
      </c>
      <c r="E87" s="8" t="n">
        <v>9750</v>
      </c>
      <c r="F87" s="7" t="s">
        <v>191</v>
      </c>
      <c r="G87" s="9" t="n">
        <v>44060</v>
      </c>
      <c r="H87" s="9" t="n">
        <v>57270</v>
      </c>
      <c r="I87" s="10" t="n">
        <f aca="false">IF(E87=0,0,(E87-H87)/E87)</f>
        <v>-4.87384615384615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65860</v>
      </c>
      <c r="L87" s="8" t="n">
        <f aca="false">D87*E87</f>
        <v>9750</v>
      </c>
      <c r="M87" s="8" t="n">
        <f aca="false">D87*K87</f>
        <v>65860</v>
      </c>
      <c r="N87" s="8" t="n">
        <f aca="false">D87*H87</f>
        <v>57270</v>
      </c>
      <c r="O87" s="6" t="str">
        <f aca="false">IF(ISNUMBER(SEARCH(C87,F87)),"","YES")</f>
        <v>YES</v>
      </c>
      <c r="P87" s="6" t="s">
        <v>24</v>
      </c>
      <c r="Q87" s="7" t="s">
        <v>214</v>
      </c>
      <c r="R87" s="7" t="s">
        <v>31</v>
      </c>
    </row>
    <row r="88" customFormat="false" ht="32.8" hidden="false" customHeight="false" outlineLevel="0" collapsed="false">
      <c r="A88" s="6" t="n">
        <v>87</v>
      </c>
      <c r="B88" s="7" t="s">
        <v>215</v>
      </c>
      <c r="C88" s="6" t="s">
        <v>28</v>
      </c>
      <c r="D88" s="6" t="n">
        <v>1</v>
      </c>
      <c r="E88" s="8" t="n">
        <v>11700</v>
      </c>
      <c r="F88" s="7" t="s">
        <v>191</v>
      </c>
      <c r="G88" s="9" t="n">
        <v>52470</v>
      </c>
      <c r="H88" s="9" t="n">
        <v>68210</v>
      </c>
      <c r="I88" s="10" t="n">
        <f aca="false">IF(E88=0,0,(E88-H88)/E88)</f>
        <v>-4.82991452991453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78440</v>
      </c>
      <c r="L88" s="8" t="n">
        <f aca="false">D88*E88</f>
        <v>11700</v>
      </c>
      <c r="M88" s="8" t="n">
        <f aca="false">D88*K88</f>
        <v>78440</v>
      </c>
      <c r="N88" s="8" t="n">
        <f aca="false">D88*H88</f>
        <v>68210</v>
      </c>
      <c r="O88" s="6" t="str">
        <f aca="false">IF(ISNUMBER(SEARCH(C88,F88)),"","YES")</f>
        <v>YES</v>
      </c>
      <c r="P88" s="6" t="s">
        <v>24</v>
      </c>
      <c r="Q88" s="7" t="s">
        <v>216</v>
      </c>
      <c r="R88" s="7" t="s">
        <v>31</v>
      </c>
    </row>
    <row r="89" customFormat="false" ht="22.35" hidden="false" customHeight="false" outlineLevel="0" collapsed="false">
      <c r="A89" s="6" t="n">
        <v>88</v>
      </c>
      <c r="B89" s="7" t="s">
        <v>217</v>
      </c>
      <c r="C89" s="6" t="s">
        <v>28</v>
      </c>
      <c r="D89" s="6" t="n">
        <v>2</v>
      </c>
      <c r="E89" s="8" t="n">
        <v>4550</v>
      </c>
      <c r="F89" s="7" t="s">
        <v>175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152</v>
      </c>
      <c r="R89" s="7" t="s">
        <v>31</v>
      </c>
    </row>
    <row r="90" customFormat="false" ht="22.35" hidden="false" customHeight="false" outlineLevel="0" collapsed="false">
      <c r="A90" s="6" t="n">
        <v>89</v>
      </c>
      <c r="B90" s="7" t="s">
        <v>217</v>
      </c>
      <c r="C90" s="6" t="s">
        <v>28</v>
      </c>
      <c r="D90" s="6" t="n">
        <v>2</v>
      </c>
      <c r="E90" s="8" t="n">
        <v>5850</v>
      </c>
      <c r="F90" s="7" t="s">
        <v>175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152</v>
      </c>
      <c r="R90" s="7" t="s">
        <v>31</v>
      </c>
    </row>
    <row r="91" customFormat="false" ht="22.35" hidden="false" customHeight="false" outlineLevel="0" collapsed="false">
      <c r="A91" s="6" t="n">
        <v>90</v>
      </c>
      <c r="B91" s="7" t="s">
        <v>217</v>
      </c>
      <c r="C91" s="6" t="s">
        <v>28</v>
      </c>
      <c r="D91" s="6" t="n">
        <v>2</v>
      </c>
      <c r="E91" s="8" t="n">
        <v>7150</v>
      </c>
      <c r="F91" s="7" t="s">
        <v>175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152</v>
      </c>
      <c r="R91" s="7" t="s">
        <v>31</v>
      </c>
    </row>
    <row r="92" customFormat="false" ht="15" hidden="false" customHeight="false" outlineLevel="0" collapsed="false">
      <c r="A92" s="6" t="n">
        <v>91</v>
      </c>
      <c r="B92" s="7" t="s">
        <v>218</v>
      </c>
      <c r="C92" s="6" t="s">
        <v>28</v>
      </c>
      <c r="D92" s="6" t="n">
        <v>2</v>
      </c>
      <c r="E92" s="8" t="n">
        <v>2340</v>
      </c>
      <c r="F92" s="7" t="s">
        <v>175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152</v>
      </c>
      <c r="R92" s="7" t="s">
        <v>31</v>
      </c>
    </row>
    <row r="93" customFormat="false" ht="15" hidden="false" customHeight="false" outlineLevel="0" collapsed="false">
      <c r="A93" s="6" t="n">
        <v>92</v>
      </c>
      <c r="B93" s="7" t="s">
        <v>219</v>
      </c>
      <c r="C93" s="6" t="s">
        <v>28</v>
      </c>
      <c r="D93" s="6" t="n">
        <v>2</v>
      </c>
      <c r="E93" s="8" t="n">
        <v>2860</v>
      </c>
      <c r="F93" s="7" t="s">
        <v>175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152</v>
      </c>
      <c r="R93" s="7" t="s">
        <v>31</v>
      </c>
    </row>
    <row r="94" customFormat="false" ht="22.35" hidden="false" customHeight="false" outlineLevel="0" collapsed="false">
      <c r="A94" s="6" t="n">
        <v>93</v>
      </c>
      <c r="B94" s="7" t="s">
        <v>220</v>
      </c>
      <c r="C94" s="6" t="s">
        <v>178</v>
      </c>
      <c r="D94" s="6" t="n">
        <v>2</v>
      </c>
      <c r="E94" s="8" t="n">
        <v>25350</v>
      </c>
      <c r="F94" s="7" t="s">
        <v>178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43</v>
      </c>
      <c r="Q94" s="7" t="s">
        <v>221</v>
      </c>
      <c r="R94" s="7"/>
    </row>
    <row r="95" customFormat="false" ht="15" hidden="false" customHeight="false" outlineLevel="0" collapsed="false">
      <c r="A95" s="6" t="n">
        <v>94</v>
      </c>
      <c r="B95" s="7" t="s">
        <v>222</v>
      </c>
      <c r="C95" s="6" t="s">
        <v>178</v>
      </c>
      <c r="D95" s="6" t="n">
        <v>3</v>
      </c>
      <c r="E95" s="8" t="n">
        <v>8138</v>
      </c>
      <c r="F95" s="7" t="s">
        <v>178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43</v>
      </c>
      <c r="Q95" s="7" t="s">
        <v>223</v>
      </c>
      <c r="R95" s="7"/>
    </row>
    <row r="96" customFormat="false" ht="15" hidden="false" customHeight="false" outlineLevel="0" collapsed="false">
      <c r="A96" s="6" t="n">
        <v>95</v>
      </c>
      <c r="B96" s="7" t="s">
        <v>224</v>
      </c>
      <c r="C96" s="6" t="s">
        <v>178</v>
      </c>
      <c r="D96" s="6" t="n">
        <v>3</v>
      </c>
      <c r="E96" s="8" t="n">
        <v>6370</v>
      </c>
      <c r="F96" s="7" t="s">
        <v>178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43</v>
      </c>
      <c r="Q96" s="7" t="s">
        <v>225</v>
      </c>
      <c r="R96" s="7"/>
    </row>
    <row r="97" customFormat="false" ht="22.35" hidden="false" customHeight="false" outlineLevel="0" collapsed="false">
      <c r="A97" s="6" t="n">
        <v>96</v>
      </c>
      <c r="B97" s="7" t="s">
        <v>226</v>
      </c>
      <c r="C97" s="6" t="s">
        <v>28</v>
      </c>
      <c r="D97" s="6" t="n">
        <v>2</v>
      </c>
      <c r="E97" s="8" t="n">
        <v>14950</v>
      </c>
      <c r="F97" s="7" t="s">
        <v>178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152</v>
      </c>
      <c r="R97" s="7" t="s">
        <v>227</v>
      </c>
    </row>
    <row r="98" customFormat="false" ht="22.35" hidden="false" customHeight="false" outlineLevel="0" collapsed="false">
      <c r="A98" s="6" t="n">
        <v>97</v>
      </c>
      <c r="B98" s="7" t="s">
        <v>228</v>
      </c>
      <c r="C98" s="6" t="s">
        <v>118</v>
      </c>
      <c r="D98" s="6" t="n">
        <v>2</v>
      </c>
      <c r="E98" s="8" t="n">
        <v>286000</v>
      </c>
      <c r="F98" s="7" t="s">
        <v>118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51</v>
      </c>
      <c r="Q98" s="7" t="s">
        <v>229</v>
      </c>
      <c r="R98" s="7" t="s">
        <v>53</v>
      </c>
    </row>
    <row r="99" customFormat="false" ht="15" hidden="false" customHeight="false" outlineLevel="0" collapsed="false">
      <c r="A99" s="6" t="n">
        <v>98</v>
      </c>
      <c r="B99" s="7" t="s">
        <v>230</v>
      </c>
      <c r="C99" s="6" t="s">
        <v>231</v>
      </c>
      <c r="D99" s="6" t="n">
        <v>1</v>
      </c>
      <c r="E99" s="8" t="n">
        <v>15600</v>
      </c>
      <c r="F99" s="7" t="s">
        <v>231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152</v>
      </c>
      <c r="R99" s="7" t="s">
        <v>31</v>
      </c>
    </row>
    <row r="100" customFormat="false" ht="15" hidden="false" customHeight="false" outlineLevel="0" collapsed="false">
      <c r="A100" s="6" t="n">
        <v>99</v>
      </c>
      <c r="B100" s="7" t="s">
        <v>232</v>
      </c>
      <c r="C100" s="6" t="s">
        <v>28</v>
      </c>
      <c r="D100" s="6" t="n">
        <v>1</v>
      </c>
      <c r="E100" s="8" t="n">
        <v>11050</v>
      </c>
      <c r="F100" s="7" t="s">
        <v>233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152</v>
      </c>
      <c r="R100" s="7" t="s">
        <v>31</v>
      </c>
    </row>
    <row r="101" customFormat="false" ht="15" hidden="false" customHeight="false" outlineLevel="0" collapsed="false">
      <c r="A101" s="6" t="n">
        <v>100</v>
      </c>
      <c r="B101" s="7" t="s">
        <v>234</v>
      </c>
      <c r="C101" s="6" t="s">
        <v>28</v>
      </c>
      <c r="D101" s="6" t="n">
        <v>1</v>
      </c>
      <c r="E101" s="8" t="n">
        <v>9100</v>
      </c>
      <c r="F101" s="7" t="s">
        <v>233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152</v>
      </c>
      <c r="R101" s="7" t="s">
        <v>31</v>
      </c>
    </row>
    <row r="102" customFormat="false" ht="15" hidden="false" customHeight="false" outlineLevel="0" collapsed="false">
      <c r="A102" s="6" t="n">
        <v>101</v>
      </c>
      <c r="B102" s="7" t="s">
        <v>235</v>
      </c>
      <c r="C102" s="6" t="s">
        <v>28</v>
      </c>
      <c r="D102" s="6" t="n">
        <v>3</v>
      </c>
      <c r="E102" s="8" t="n">
        <v>7150</v>
      </c>
      <c r="F102" s="7" t="s">
        <v>233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152</v>
      </c>
      <c r="R102" s="7" t="s">
        <v>31</v>
      </c>
    </row>
    <row r="103" customFormat="false" ht="15" hidden="false" customHeight="false" outlineLevel="0" collapsed="false">
      <c r="A103" s="6" t="n">
        <v>102</v>
      </c>
      <c r="B103" s="7" t="s">
        <v>236</v>
      </c>
      <c r="C103" s="6" t="s">
        <v>28</v>
      </c>
      <c r="D103" s="6" t="n">
        <v>3</v>
      </c>
      <c r="E103" s="8" t="n">
        <v>5850</v>
      </c>
      <c r="F103" s="7" t="s">
        <v>233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152</v>
      </c>
      <c r="R103" s="7" t="s">
        <v>31</v>
      </c>
    </row>
    <row r="104" customFormat="false" ht="15" hidden="false" customHeight="false" outlineLevel="0" collapsed="false">
      <c r="A104" s="6" t="n">
        <v>103</v>
      </c>
      <c r="B104" s="7" t="s">
        <v>237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152</v>
      </c>
      <c r="R104" s="7" t="s">
        <v>31</v>
      </c>
    </row>
    <row r="105" customFormat="false" ht="32.8" hidden="false" customHeight="false" outlineLevel="0" collapsed="false">
      <c r="A105" s="6" t="n">
        <v>104</v>
      </c>
      <c r="B105" s="7" t="s">
        <v>238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152</v>
      </c>
      <c r="R105" s="7" t="s">
        <v>239</v>
      </c>
    </row>
    <row r="106" customFormat="false" ht="22.35" hidden="false" customHeight="false" outlineLevel="0" collapsed="false">
      <c r="A106" s="6" t="n">
        <v>105</v>
      </c>
      <c r="B106" s="7" t="s">
        <v>240</v>
      </c>
      <c r="C106" s="6" t="s">
        <v>22</v>
      </c>
      <c r="D106" s="6" t="n">
        <v>12</v>
      </c>
      <c r="E106" s="8" t="n">
        <v>1170</v>
      </c>
      <c r="F106" s="7" t="s">
        <v>241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43</v>
      </c>
      <c r="Q106" s="7" t="s">
        <v>242</v>
      </c>
      <c r="R106" s="7"/>
    </row>
    <row r="107" customFormat="false" ht="22.35" hidden="false" customHeight="false" outlineLevel="0" collapsed="false">
      <c r="A107" s="6" t="n">
        <v>106</v>
      </c>
      <c r="B107" s="7" t="s">
        <v>243</v>
      </c>
      <c r="C107" s="6" t="s">
        <v>28</v>
      </c>
      <c r="D107" s="6" t="n">
        <v>6</v>
      </c>
      <c r="E107" s="8" t="n">
        <v>3640</v>
      </c>
      <c r="F107" s="7" t="s">
        <v>129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24</v>
      </c>
      <c r="Q107" s="7" t="s">
        <v>152</v>
      </c>
      <c r="R107" s="7" t="s">
        <v>244</v>
      </c>
    </row>
    <row r="108" customFormat="false" ht="32.8" hidden="false" customHeight="false" outlineLevel="0" collapsed="false">
      <c r="A108" s="6" t="n">
        <v>107</v>
      </c>
      <c r="B108" s="7" t="s">
        <v>245</v>
      </c>
      <c r="C108" s="6" t="s">
        <v>28</v>
      </c>
      <c r="D108" s="6" t="n">
        <v>6</v>
      </c>
      <c r="E108" s="8" t="n">
        <v>6760</v>
      </c>
      <c r="F108" s="7" t="s">
        <v>129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152</v>
      </c>
      <c r="R108" s="7" t="s">
        <v>246</v>
      </c>
    </row>
    <row r="109" customFormat="false" ht="22.35" hidden="false" customHeight="false" outlineLevel="0" collapsed="false">
      <c r="A109" s="6" t="n">
        <v>108</v>
      </c>
      <c r="B109" s="7" t="s">
        <v>247</v>
      </c>
      <c r="C109" s="6" t="s">
        <v>28</v>
      </c>
      <c r="D109" s="6" t="n">
        <v>3</v>
      </c>
      <c r="E109" s="8" t="n">
        <v>4550</v>
      </c>
      <c r="F109" s="7" t="s">
        <v>129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24</v>
      </c>
      <c r="Q109" s="7" t="s">
        <v>152</v>
      </c>
      <c r="R109" s="7" t="s">
        <v>248</v>
      </c>
    </row>
    <row r="110" customFormat="false" ht="22.35" hidden="false" customHeight="false" outlineLevel="0" collapsed="false">
      <c r="A110" s="6" t="n">
        <v>109</v>
      </c>
      <c r="B110" s="7" t="s">
        <v>249</v>
      </c>
      <c r="C110" s="6" t="s">
        <v>28</v>
      </c>
      <c r="D110" s="6" t="n">
        <v>6</v>
      </c>
      <c r="E110" s="8" t="n">
        <v>2340</v>
      </c>
      <c r="F110" s="7" t="s">
        <v>129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152</v>
      </c>
      <c r="R110" s="7" t="s">
        <v>250</v>
      </c>
    </row>
    <row r="111" customFormat="false" ht="22.35" hidden="false" customHeight="false" outlineLevel="0" collapsed="false">
      <c r="A111" s="6" t="n">
        <v>110</v>
      </c>
      <c r="B111" s="7" t="s">
        <v>251</v>
      </c>
      <c r="C111" s="6" t="s">
        <v>28</v>
      </c>
      <c r="D111" s="6" t="n">
        <v>3</v>
      </c>
      <c r="E111" s="8" t="n">
        <v>1820</v>
      </c>
      <c r="F111" s="7" t="s">
        <v>178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152</v>
      </c>
      <c r="R111" s="7" t="s">
        <v>252</v>
      </c>
    </row>
    <row r="112" customFormat="false" ht="32.8" hidden="false" customHeight="false" outlineLevel="0" collapsed="false">
      <c r="A112" s="6" t="n">
        <v>111</v>
      </c>
      <c r="B112" s="7" t="s">
        <v>253</v>
      </c>
      <c r="C112" s="6" t="s">
        <v>28</v>
      </c>
      <c r="D112" s="6" t="n">
        <v>3</v>
      </c>
      <c r="E112" s="8" t="n">
        <v>2860</v>
      </c>
      <c r="F112" s="7" t="s">
        <v>178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24</v>
      </c>
      <c r="Q112" s="7" t="s">
        <v>254</v>
      </c>
      <c r="R112" s="7" t="s">
        <v>255</v>
      </c>
    </row>
    <row r="113" customFormat="false" ht="22.35" hidden="false" customHeight="false" outlineLevel="0" collapsed="false">
      <c r="A113" s="6" t="n">
        <v>112</v>
      </c>
      <c r="B113" s="7" t="s">
        <v>256</v>
      </c>
      <c r="C113" s="6" t="s">
        <v>28</v>
      </c>
      <c r="D113" s="6" t="n">
        <v>2</v>
      </c>
      <c r="E113" s="8" t="n">
        <v>12350</v>
      </c>
      <c r="F113" s="7" t="s">
        <v>257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152</v>
      </c>
      <c r="R113" s="7" t="s">
        <v>258</v>
      </c>
    </row>
    <row r="114" customFormat="false" ht="15" hidden="false" customHeight="false" outlineLevel="0" collapsed="false">
      <c r="A114" s="6" t="n">
        <v>113</v>
      </c>
      <c r="B114" s="7" t="s">
        <v>259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152</v>
      </c>
      <c r="R114" s="7" t="s">
        <v>31</v>
      </c>
    </row>
    <row r="115" customFormat="false" ht="15" hidden="false" customHeight="false" outlineLevel="0" collapsed="false">
      <c r="A115" s="6" t="n">
        <v>114</v>
      </c>
      <c r="B115" s="7" t="s">
        <v>260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152</v>
      </c>
      <c r="R115" s="7" t="s">
        <v>31</v>
      </c>
    </row>
    <row r="116" customFormat="false" ht="22.35" hidden="false" customHeight="false" outlineLevel="0" collapsed="false">
      <c r="A116" s="6" t="n">
        <v>115</v>
      </c>
      <c r="B116" s="7" t="s">
        <v>261</v>
      </c>
      <c r="C116" s="6" t="s">
        <v>22</v>
      </c>
      <c r="D116" s="6" t="n">
        <v>2</v>
      </c>
      <c r="E116" s="8" t="n">
        <v>11050</v>
      </c>
      <c r="F116" s="7" t="s">
        <v>262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43</v>
      </c>
      <c r="Q116" s="7" t="s">
        <v>263</v>
      </c>
      <c r="R116" s="7"/>
    </row>
    <row r="117" customFormat="false" ht="22.35" hidden="false" customHeight="false" outlineLevel="0" collapsed="false">
      <c r="A117" s="6" t="n">
        <v>116</v>
      </c>
      <c r="B117" s="7" t="s">
        <v>264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152</v>
      </c>
      <c r="R117" s="7" t="s">
        <v>265</v>
      </c>
    </row>
    <row r="118" customFormat="false" ht="15" hidden="false" customHeight="false" outlineLevel="0" collapsed="false">
      <c r="A118" s="6" t="n">
        <v>117</v>
      </c>
      <c r="B118" s="7" t="s">
        <v>266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267</v>
      </c>
      <c r="R118" s="7" t="s">
        <v>31</v>
      </c>
    </row>
    <row r="119" customFormat="false" ht="15" hidden="false" customHeight="false" outlineLevel="0" collapsed="false">
      <c r="A119" s="6" t="n">
        <v>118</v>
      </c>
      <c r="B119" s="7" t="s">
        <v>268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267</v>
      </c>
      <c r="R119" s="7" t="s">
        <v>31</v>
      </c>
    </row>
    <row r="120" customFormat="false" ht="15" hidden="false" customHeight="false" outlineLevel="0" collapsed="false">
      <c r="A120" s="6" t="n">
        <v>119</v>
      </c>
      <c r="B120" s="7" t="s">
        <v>269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152</v>
      </c>
      <c r="R120" s="7" t="s">
        <v>31</v>
      </c>
    </row>
    <row r="121" customFormat="false" ht="15" hidden="false" customHeight="false" outlineLevel="0" collapsed="false">
      <c r="A121" s="6" t="n">
        <v>120</v>
      </c>
      <c r="B121" s="7" t="s">
        <v>270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152</v>
      </c>
      <c r="R121" s="7" t="s">
        <v>31</v>
      </c>
    </row>
    <row r="122" customFormat="false" ht="22.35" hidden="false" customHeight="false" outlineLevel="0" collapsed="false">
      <c r="A122" s="6" t="n">
        <v>121</v>
      </c>
      <c r="B122" s="7" t="s">
        <v>271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43</v>
      </c>
      <c r="Q122" s="7" t="s">
        <v>272</v>
      </c>
      <c r="R122" s="7"/>
    </row>
    <row r="123" customFormat="false" ht="32.8" hidden="false" customHeight="false" outlineLevel="0" collapsed="false">
      <c r="A123" s="6" t="n">
        <v>122</v>
      </c>
      <c r="B123" s="7" t="s">
        <v>273</v>
      </c>
      <c r="C123" s="6" t="s">
        <v>22</v>
      </c>
      <c r="D123" s="6" t="n">
        <v>1</v>
      </c>
      <c r="E123" s="8" t="n">
        <v>357500</v>
      </c>
      <c r="F123" s="7" t="s">
        <v>274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275</v>
      </c>
      <c r="R123" s="7" t="s">
        <v>276</v>
      </c>
    </row>
    <row r="124" customFormat="false" ht="22.35" hidden="false" customHeight="false" outlineLevel="0" collapsed="false">
      <c r="A124" s="6" t="n">
        <v>123</v>
      </c>
      <c r="B124" s="7" t="s">
        <v>277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152</v>
      </c>
      <c r="R124" s="7" t="s">
        <v>278</v>
      </c>
    </row>
    <row r="125" customFormat="false" ht="15" hidden="false" customHeight="false" outlineLevel="0" collapsed="false">
      <c r="A125" s="6" t="n">
        <v>124</v>
      </c>
      <c r="B125" s="7" t="s">
        <v>279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152</v>
      </c>
      <c r="R125" s="7" t="s">
        <v>31</v>
      </c>
    </row>
    <row r="126" customFormat="false" ht="15" hidden="false" customHeight="false" outlineLevel="0" collapsed="false">
      <c r="A126" s="6" t="n">
        <v>125</v>
      </c>
      <c r="B126" s="7" t="s">
        <v>280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152</v>
      </c>
      <c r="R126" s="7" t="s">
        <v>31</v>
      </c>
    </row>
    <row r="127" customFormat="false" ht="15" hidden="false" customHeight="false" outlineLevel="0" collapsed="false">
      <c r="A127" s="6" t="n">
        <v>126</v>
      </c>
      <c r="B127" s="7" t="s">
        <v>281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152</v>
      </c>
      <c r="R127" s="7" t="s">
        <v>31</v>
      </c>
    </row>
    <row r="128" customFormat="false" ht="15" hidden="false" customHeight="false" outlineLevel="0" collapsed="false">
      <c r="A128" s="6" t="n">
        <v>127</v>
      </c>
      <c r="B128" s="7" t="s">
        <v>282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152</v>
      </c>
      <c r="R128" s="7" t="s">
        <v>31</v>
      </c>
    </row>
    <row r="129" customFormat="false" ht="15" hidden="false" customHeight="false" outlineLevel="0" collapsed="false">
      <c r="A129" s="6" t="n">
        <v>128</v>
      </c>
      <c r="B129" s="7" t="s">
        <v>283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152</v>
      </c>
      <c r="R129" s="7" t="s">
        <v>31</v>
      </c>
    </row>
    <row r="130" customFormat="false" ht="15" hidden="false" customHeight="false" outlineLevel="0" collapsed="false">
      <c r="A130" s="6" t="n">
        <v>129</v>
      </c>
      <c r="B130" s="7" t="s">
        <v>284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152</v>
      </c>
      <c r="R130" s="7" t="s">
        <v>31</v>
      </c>
    </row>
    <row r="131" customFormat="false" ht="22.35" hidden="false" customHeight="false" outlineLevel="0" collapsed="false">
      <c r="A131" s="6" t="n">
        <v>130</v>
      </c>
      <c r="B131" s="7" t="s">
        <v>285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286</v>
      </c>
      <c r="R131" s="7" t="s">
        <v>287</v>
      </c>
    </row>
    <row r="132" customFormat="false" ht="15" hidden="false" customHeight="false" outlineLevel="0" collapsed="false">
      <c r="A132" s="6" t="n">
        <v>131</v>
      </c>
      <c r="B132" s="7" t="s">
        <v>288</v>
      </c>
      <c r="C132" s="6" t="s">
        <v>22</v>
      </c>
      <c r="D132" s="6" t="n">
        <v>2</v>
      </c>
      <c r="E132" s="8" t="n">
        <v>7800</v>
      </c>
      <c r="F132" s="7" t="s">
        <v>289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43</v>
      </c>
      <c r="Q132" s="7" t="s">
        <v>290</v>
      </c>
      <c r="R132" s="7"/>
    </row>
    <row r="133" customFormat="false" ht="15" hidden="false" customHeight="false" outlineLevel="0" collapsed="false">
      <c r="A133" s="6" t="n">
        <v>132</v>
      </c>
      <c r="B133" s="7" t="s">
        <v>291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267</v>
      </c>
      <c r="R133" s="7" t="s">
        <v>31</v>
      </c>
    </row>
    <row r="134" customFormat="false" ht="15" hidden="false" customHeight="false" outlineLevel="0" collapsed="false">
      <c r="A134" s="6" t="n">
        <v>133</v>
      </c>
      <c r="B134" s="7" t="s">
        <v>292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152</v>
      </c>
      <c r="R134" s="7" t="s">
        <v>31</v>
      </c>
    </row>
    <row r="135" customFormat="false" ht="15" hidden="false" customHeight="false" outlineLevel="0" collapsed="false">
      <c r="A135" s="6" t="n">
        <v>134</v>
      </c>
      <c r="B135" s="7" t="s">
        <v>293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152</v>
      </c>
      <c r="R135" s="7" t="s">
        <v>31</v>
      </c>
    </row>
    <row r="136" customFormat="false" ht="22.35" hidden="false" customHeight="false" outlineLevel="0" collapsed="false">
      <c r="A136" s="6" t="n">
        <v>135</v>
      </c>
      <c r="B136" s="7" t="s">
        <v>294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43</v>
      </c>
      <c r="Q136" s="7" t="s">
        <v>295</v>
      </c>
      <c r="R136" s="7"/>
    </row>
    <row r="137" customFormat="false" ht="22.35" hidden="false" customHeight="false" outlineLevel="0" collapsed="false">
      <c r="A137" s="6" t="n">
        <v>136</v>
      </c>
      <c r="B137" s="7" t="s">
        <v>296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43</v>
      </c>
      <c r="Q137" s="7" t="s">
        <v>297</v>
      </c>
      <c r="R137" s="7"/>
    </row>
    <row r="138" customFormat="false" ht="22.35" hidden="false" customHeight="false" outlineLevel="0" collapsed="false">
      <c r="A138" s="6" t="n">
        <v>138</v>
      </c>
      <c r="B138" s="7" t="s">
        <v>298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43</v>
      </c>
      <c r="Q138" s="7" t="s">
        <v>299</v>
      </c>
      <c r="R138" s="7"/>
    </row>
    <row r="139" customFormat="false" ht="15" hidden="false" customHeight="false" outlineLevel="0" collapsed="false">
      <c r="A139" s="6" t="n">
        <v>139</v>
      </c>
      <c r="B139" s="7" t="s">
        <v>300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152</v>
      </c>
      <c r="R139" s="7" t="s">
        <v>31</v>
      </c>
    </row>
    <row r="140" customFormat="false" ht="22.35" hidden="false" customHeight="false" outlineLevel="0" collapsed="false">
      <c r="A140" s="6" t="n">
        <v>140</v>
      </c>
      <c r="B140" s="7" t="s">
        <v>301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152</v>
      </c>
      <c r="R140" s="7" t="s">
        <v>302</v>
      </c>
    </row>
    <row r="141" customFormat="false" ht="15" hidden="false" customHeight="false" outlineLevel="0" collapsed="false">
      <c r="A141" s="6" t="n">
        <v>142</v>
      </c>
      <c r="B141" s="7" t="s">
        <v>303</v>
      </c>
      <c r="C141" s="6" t="s">
        <v>22</v>
      </c>
      <c r="D141" s="6" t="n">
        <v>3</v>
      </c>
      <c r="E141" s="8" t="n">
        <v>7150</v>
      </c>
      <c r="F141" s="7" t="s">
        <v>304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152</v>
      </c>
      <c r="R141" s="7" t="s">
        <v>31</v>
      </c>
    </row>
    <row r="142" customFormat="false" ht="15" hidden="false" customHeight="false" outlineLevel="0" collapsed="false">
      <c r="A142" s="6" t="n">
        <v>143</v>
      </c>
      <c r="B142" s="7" t="s">
        <v>305</v>
      </c>
      <c r="C142" s="6" t="s">
        <v>22</v>
      </c>
      <c r="D142" s="6" t="n">
        <v>3</v>
      </c>
      <c r="E142" s="8" t="n">
        <v>7150</v>
      </c>
      <c r="F142" s="7" t="s">
        <v>304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152</v>
      </c>
      <c r="R142" s="7" t="s">
        <v>31</v>
      </c>
    </row>
    <row r="143" customFormat="false" ht="15" hidden="false" customHeight="false" outlineLevel="0" collapsed="false">
      <c r="A143" s="6" t="n">
        <v>144</v>
      </c>
      <c r="B143" s="7" t="s">
        <v>306</v>
      </c>
      <c r="C143" s="6" t="s">
        <v>22</v>
      </c>
      <c r="D143" s="6" t="n">
        <v>3</v>
      </c>
      <c r="E143" s="8" t="n">
        <v>8450</v>
      </c>
      <c r="F143" s="7" t="s">
        <v>304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152</v>
      </c>
      <c r="R143" s="7" t="s">
        <v>31</v>
      </c>
    </row>
    <row r="144" customFormat="false" ht="15" hidden="false" customHeight="false" outlineLevel="0" collapsed="false">
      <c r="A144" s="6" t="n">
        <v>145</v>
      </c>
      <c r="B144" s="7" t="s">
        <v>307</v>
      </c>
      <c r="C144" s="6" t="s">
        <v>28</v>
      </c>
      <c r="D144" s="6" t="n">
        <v>500</v>
      </c>
      <c r="E144" s="8" t="n">
        <v>104</v>
      </c>
      <c r="F144" s="7" t="s">
        <v>308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267</v>
      </c>
      <c r="R144" s="7" t="s">
        <v>31</v>
      </c>
    </row>
    <row r="145" customFormat="false" ht="22.35" hidden="false" customHeight="false" outlineLevel="0" collapsed="false">
      <c r="A145" s="6" t="n">
        <v>146</v>
      </c>
      <c r="B145" s="7" t="s">
        <v>309</v>
      </c>
      <c r="C145" s="6" t="s">
        <v>22</v>
      </c>
      <c r="D145" s="6" t="n">
        <v>1</v>
      </c>
      <c r="E145" s="8" t="n">
        <v>105788</v>
      </c>
      <c r="F145" s="7" t="s">
        <v>310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43</v>
      </c>
      <c r="Q145" s="7" t="s">
        <v>311</v>
      </c>
      <c r="R145" s="7"/>
    </row>
    <row r="146" customFormat="false" ht="15" hidden="false" customHeight="false" outlineLevel="0" collapsed="false">
      <c r="A146" s="6" t="n">
        <v>147</v>
      </c>
      <c r="B146" s="7" t="s">
        <v>312</v>
      </c>
      <c r="C146" s="6" t="s">
        <v>22</v>
      </c>
      <c r="D146" s="6" t="n">
        <v>1</v>
      </c>
      <c r="E146" s="8" t="n">
        <v>245700</v>
      </c>
      <c r="F146" s="7" t="s">
        <v>310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43</v>
      </c>
      <c r="Q146" s="7" t="s">
        <v>313</v>
      </c>
      <c r="R146" s="7"/>
    </row>
    <row r="147" customFormat="false" ht="32.8" hidden="false" customHeight="false" outlineLevel="0" collapsed="false">
      <c r="A147" s="6" t="n">
        <v>148</v>
      </c>
      <c r="B147" s="7" t="s">
        <v>314</v>
      </c>
      <c r="C147" s="6" t="s">
        <v>28</v>
      </c>
      <c r="D147" s="6" t="n">
        <v>12</v>
      </c>
      <c r="E147" s="8" t="n">
        <v>650</v>
      </c>
      <c r="F147" s="7" t="s">
        <v>28</v>
      </c>
      <c r="G147" s="9" t="n">
        <v>800</v>
      </c>
      <c r="H147" s="9" t="n">
        <v>1200</v>
      </c>
      <c r="I147" s="10" t="n">
        <f aca="false">IF(E147=0,0,(E147-H147)/E147)</f>
        <v>-0.846153846153846</v>
      </c>
      <c r="J147" s="6" t="str">
        <f aca="false">IF(E147&lt;G147,"LOSS",IF(E147&lt;H147*1.1,"THIN / RISK",IF(E147&gt;H147*1.8,"OVERPRICED?","OK")))</f>
        <v>LOSS</v>
      </c>
      <c r="K147" s="8" t="n">
        <f aca="false">IF(J147="OVERPRICED?",ROUND(H147*1.35,-1),MAX(E147,ROUND(H147*(1+$E$3),-1)))</f>
        <v>1380</v>
      </c>
      <c r="L147" s="8" t="n">
        <f aca="false">D147*E147</f>
        <v>7800</v>
      </c>
      <c r="M147" s="8" t="n">
        <f aca="false">D147*K147</f>
        <v>16560</v>
      </c>
      <c r="N147" s="8" t="n">
        <f aca="false">D147*H147</f>
        <v>14400</v>
      </c>
      <c r="O147" s="6" t="str">
        <f aca="false">IF(ISNUMBER(SEARCH(C147,F147)),"","YES")</f>
        <v/>
      </c>
      <c r="P147" s="6" t="s">
        <v>24</v>
      </c>
      <c r="Q147" s="7" t="s">
        <v>315</v>
      </c>
      <c r="R147" s="7" t="s">
        <v>316</v>
      </c>
    </row>
    <row r="148" customFormat="false" ht="15" hidden="false" customHeight="false" outlineLevel="0" collapsed="false">
      <c r="A148" s="6" t="n">
        <v>149</v>
      </c>
      <c r="B148" s="7" t="s">
        <v>317</v>
      </c>
      <c r="C148" s="6" t="s">
        <v>22</v>
      </c>
      <c r="D148" s="6" t="n">
        <v>100</v>
      </c>
      <c r="E148" s="8" t="n">
        <v>1754</v>
      </c>
      <c r="F148" s="7" t="s">
        <v>318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43</v>
      </c>
      <c r="Q148" s="7" t="s">
        <v>319</v>
      </c>
      <c r="R148" s="7"/>
    </row>
    <row r="149" customFormat="false" ht="22.35" hidden="false" customHeight="false" outlineLevel="0" collapsed="false">
      <c r="A149" s="6" t="n">
        <v>150</v>
      </c>
      <c r="B149" s="7" t="s">
        <v>320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43</v>
      </c>
      <c r="Q149" s="7" t="s">
        <v>321</v>
      </c>
      <c r="R149" s="7"/>
    </row>
    <row r="150" customFormat="false" ht="22.35" hidden="false" customHeight="false" outlineLevel="0" collapsed="false">
      <c r="A150" s="6" t="n">
        <v>151</v>
      </c>
      <c r="B150" s="7" t="s">
        <v>322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43</v>
      </c>
      <c r="Q150" s="7" t="s">
        <v>323</v>
      </c>
      <c r="R150" s="7"/>
    </row>
    <row r="151" customFormat="false" ht="22.35" hidden="false" customHeight="false" outlineLevel="0" collapsed="false">
      <c r="A151" s="6" t="n">
        <v>152</v>
      </c>
      <c r="B151" s="7" t="s">
        <v>324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43</v>
      </c>
      <c r="Q151" s="7" t="s">
        <v>325</v>
      </c>
      <c r="R151" s="7"/>
    </row>
    <row r="152" customFormat="false" ht="15" hidden="false" customHeight="false" outlineLevel="0" collapsed="false">
      <c r="A152" s="6" t="n">
        <v>153</v>
      </c>
      <c r="B152" s="7" t="s">
        <v>326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43</v>
      </c>
      <c r="Q152" s="7" t="s">
        <v>327</v>
      </c>
      <c r="R152" s="7"/>
    </row>
    <row r="153" customFormat="false" ht="15" hidden="false" customHeight="false" outlineLevel="0" collapsed="false">
      <c r="A153" s="6" t="n">
        <v>154</v>
      </c>
      <c r="B153" s="7" t="s">
        <v>328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152</v>
      </c>
      <c r="R153" s="7" t="s">
        <v>31</v>
      </c>
    </row>
    <row r="154" customFormat="false" ht="15" hidden="false" customHeight="false" outlineLevel="0" collapsed="false">
      <c r="A154" s="6" t="n">
        <v>155</v>
      </c>
      <c r="B154" s="7" t="s">
        <v>329</v>
      </c>
      <c r="C154" s="6" t="s">
        <v>22</v>
      </c>
      <c r="D154" s="6" t="n">
        <v>50</v>
      </c>
      <c r="E154" s="8" t="n">
        <v>748</v>
      </c>
      <c r="F154" s="7" t="s">
        <v>330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43</v>
      </c>
      <c r="Q154" s="7" t="s">
        <v>331</v>
      </c>
      <c r="R154" s="7"/>
    </row>
    <row r="155" customFormat="false" ht="15" hidden="false" customHeight="false" outlineLevel="0" collapsed="false">
      <c r="A155" s="6" t="n">
        <v>156</v>
      </c>
      <c r="B155" s="7" t="s">
        <v>332</v>
      </c>
      <c r="C155" s="6" t="s">
        <v>22</v>
      </c>
      <c r="D155" s="6" t="n">
        <v>30</v>
      </c>
      <c r="E155" s="8" t="n">
        <v>748</v>
      </c>
      <c r="F155" s="7" t="s">
        <v>330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43</v>
      </c>
      <c r="Q155" s="7" t="s">
        <v>333</v>
      </c>
      <c r="R155" s="7"/>
    </row>
    <row r="156" customFormat="false" ht="22.35" hidden="false" customHeight="false" outlineLevel="0" collapsed="false">
      <c r="A156" s="6" t="n">
        <v>157</v>
      </c>
      <c r="B156" s="7" t="s">
        <v>334</v>
      </c>
      <c r="C156" s="6" t="s">
        <v>22</v>
      </c>
      <c r="D156" s="6" t="n">
        <v>30</v>
      </c>
      <c r="E156" s="8" t="n">
        <v>748</v>
      </c>
      <c r="F156" s="7" t="s">
        <v>335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43</v>
      </c>
      <c r="Q156" s="7" t="s">
        <v>336</v>
      </c>
      <c r="R156" s="7"/>
    </row>
    <row r="157" customFormat="false" ht="15" hidden="false" customHeight="false" outlineLevel="0" collapsed="false">
      <c r="A157" s="6" t="n">
        <v>158</v>
      </c>
      <c r="B157" s="7" t="s">
        <v>337</v>
      </c>
      <c r="C157" s="6" t="s">
        <v>28</v>
      </c>
      <c r="D157" s="6" t="n">
        <v>12</v>
      </c>
      <c r="E157" s="8" t="n">
        <v>311</v>
      </c>
      <c r="F157" s="7" t="s">
        <v>308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152</v>
      </c>
      <c r="R157" s="7" t="s">
        <v>31</v>
      </c>
    </row>
    <row r="158" customFormat="false" ht="15" hidden="false" customHeight="false" outlineLevel="0" collapsed="false">
      <c r="A158" s="6" t="n">
        <v>159</v>
      </c>
      <c r="B158" s="7" t="s">
        <v>338</v>
      </c>
      <c r="C158" s="6" t="s">
        <v>28</v>
      </c>
      <c r="D158" s="6" t="n">
        <v>100</v>
      </c>
      <c r="E158" s="8" t="n">
        <v>325</v>
      </c>
      <c r="F158" s="7" t="s">
        <v>308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339</v>
      </c>
      <c r="R158" s="7" t="s">
        <v>31</v>
      </c>
    </row>
    <row r="159" customFormat="false" ht="15" hidden="false" customHeight="false" outlineLevel="0" collapsed="false">
      <c r="A159" s="6" t="n">
        <v>160</v>
      </c>
      <c r="B159" s="7" t="s">
        <v>340</v>
      </c>
      <c r="C159" s="6" t="s">
        <v>28</v>
      </c>
      <c r="D159" s="6" t="n">
        <v>150</v>
      </c>
      <c r="E159" s="8" t="n">
        <v>117</v>
      </c>
      <c r="F159" s="7" t="s">
        <v>341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152</v>
      </c>
      <c r="R159" s="7" t="s">
        <v>31</v>
      </c>
    </row>
    <row r="160" customFormat="false" ht="15" hidden="false" customHeight="false" outlineLevel="0" collapsed="false">
      <c r="A160" s="6" t="n">
        <v>161</v>
      </c>
      <c r="B160" s="7" t="s">
        <v>342</v>
      </c>
      <c r="C160" s="6" t="s">
        <v>28</v>
      </c>
      <c r="D160" s="6" t="n">
        <v>150</v>
      </c>
      <c r="E160" s="8" t="n">
        <v>169</v>
      </c>
      <c r="F160" s="7" t="s">
        <v>341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152</v>
      </c>
      <c r="R160" s="7" t="s">
        <v>31</v>
      </c>
    </row>
    <row r="161" customFormat="false" ht="15" hidden="false" customHeight="false" outlineLevel="0" collapsed="false">
      <c r="A161" s="6" t="n">
        <v>162</v>
      </c>
      <c r="B161" s="7" t="s">
        <v>343</v>
      </c>
      <c r="C161" s="6" t="s">
        <v>28</v>
      </c>
      <c r="D161" s="6" t="n">
        <v>150</v>
      </c>
      <c r="E161" s="8" t="n">
        <v>234</v>
      </c>
      <c r="F161" s="7" t="s">
        <v>341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152</v>
      </c>
      <c r="R161" s="7" t="s">
        <v>31</v>
      </c>
    </row>
    <row r="162" customFormat="false" ht="32.8" hidden="false" customHeight="false" outlineLevel="0" collapsed="false">
      <c r="A162" s="6" t="n">
        <v>164</v>
      </c>
      <c r="B162" s="7" t="s">
        <v>344</v>
      </c>
      <c r="C162" s="6" t="s">
        <v>22</v>
      </c>
      <c r="D162" s="6" t="n">
        <v>40</v>
      </c>
      <c r="E162" s="8" t="n">
        <v>1209</v>
      </c>
      <c r="F162" s="7" t="s">
        <v>345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51</v>
      </c>
      <c r="Q162" s="7" t="s">
        <v>346</v>
      </c>
      <c r="R162" s="7" t="s">
        <v>53</v>
      </c>
    </row>
    <row r="163" customFormat="false" ht="32.8" hidden="false" customHeight="false" outlineLevel="0" collapsed="false">
      <c r="A163" s="6" t="n">
        <v>165</v>
      </c>
      <c r="B163" s="7" t="s">
        <v>347</v>
      </c>
      <c r="C163" s="6" t="s">
        <v>22</v>
      </c>
      <c r="D163" s="6" t="n">
        <v>40</v>
      </c>
      <c r="E163" s="8" t="n">
        <v>1209</v>
      </c>
      <c r="F163" s="7" t="s">
        <v>345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51</v>
      </c>
      <c r="Q163" s="7" t="s">
        <v>348</v>
      </c>
      <c r="R163" s="7" t="s">
        <v>53</v>
      </c>
    </row>
    <row r="164" customFormat="false" ht="22.35" hidden="false" customHeight="false" outlineLevel="0" collapsed="false">
      <c r="A164" s="6" t="n">
        <v>166</v>
      </c>
      <c r="B164" s="7" t="s">
        <v>349</v>
      </c>
      <c r="C164" s="6" t="s">
        <v>22</v>
      </c>
      <c r="D164" s="6" t="n">
        <v>20</v>
      </c>
      <c r="E164" s="8" t="n">
        <v>3022</v>
      </c>
      <c r="F164" s="7" t="s">
        <v>350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51</v>
      </c>
      <c r="Q164" s="7" t="s">
        <v>351</v>
      </c>
      <c r="R164" s="7" t="s">
        <v>53</v>
      </c>
    </row>
    <row r="165" customFormat="false" ht="22.35" hidden="false" customHeight="false" outlineLevel="0" collapsed="false">
      <c r="A165" s="6" t="n">
        <v>167</v>
      </c>
      <c r="B165" s="7" t="s">
        <v>352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353</v>
      </c>
      <c r="R165" s="7" t="s">
        <v>354</v>
      </c>
    </row>
    <row r="166" customFormat="false" ht="22.35" hidden="false" customHeight="false" outlineLevel="0" collapsed="false">
      <c r="A166" s="6" t="n">
        <v>168</v>
      </c>
      <c r="B166" s="7" t="s">
        <v>355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353</v>
      </c>
      <c r="R166" s="7" t="s">
        <v>356</v>
      </c>
    </row>
    <row r="167" customFormat="false" ht="22.35" hidden="false" customHeight="false" outlineLevel="0" collapsed="false">
      <c r="A167" s="6" t="n">
        <v>177</v>
      </c>
      <c r="B167" s="7" t="s">
        <v>357</v>
      </c>
      <c r="C167" s="6" t="s">
        <v>28</v>
      </c>
      <c r="D167" s="6" t="n">
        <v>3</v>
      </c>
      <c r="E167" s="8" t="n">
        <v>5850</v>
      </c>
      <c r="F167" s="7" t="s">
        <v>358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152</v>
      </c>
      <c r="R167" s="7" t="s">
        <v>359</v>
      </c>
    </row>
    <row r="168" customFormat="false" ht="15" hidden="false" customHeight="false" outlineLevel="0" collapsed="false">
      <c r="A168" s="6" t="n">
        <v>179</v>
      </c>
      <c r="B168" s="7" t="s">
        <v>360</v>
      </c>
      <c r="C168" s="6" t="s">
        <v>28</v>
      </c>
      <c r="D168" s="6" t="n">
        <v>1</v>
      </c>
      <c r="E168" s="8" t="n">
        <v>23400</v>
      </c>
      <c r="F168" s="7" t="s">
        <v>233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152</v>
      </c>
      <c r="R168" s="7" t="s">
        <v>31</v>
      </c>
    </row>
    <row r="169" customFormat="false" ht="15" hidden="false" customHeight="false" outlineLevel="0" collapsed="false">
      <c r="A169" s="6" t="n">
        <v>180</v>
      </c>
      <c r="B169" s="7" t="s">
        <v>361</v>
      </c>
      <c r="C169" s="6" t="s">
        <v>28</v>
      </c>
      <c r="D169" s="6" t="n">
        <v>1</v>
      </c>
      <c r="E169" s="8" t="n">
        <v>15600</v>
      </c>
      <c r="F169" s="7" t="s">
        <v>233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152</v>
      </c>
      <c r="R169" s="7" t="s">
        <v>31</v>
      </c>
    </row>
    <row r="170" customFormat="false" ht="15" hidden="false" customHeight="false" outlineLevel="0" collapsed="false">
      <c r="A170" s="6" t="n">
        <v>181</v>
      </c>
      <c r="B170" s="7" t="s">
        <v>362</v>
      </c>
      <c r="C170" s="6" t="s">
        <v>28</v>
      </c>
      <c r="D170" s="6" t="n">
        <v>1</v>
      </c>
      <c r="E170" s="8" t="n">
        <v>33800</v>
      </c>
      <c r="F170" s="7" t="s">
        <v>233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152</v>
      </c>
      <c r="R170" s="7" t="s">
        <v>31</v>
      </c>
    </row>
    <row r="171" customFormat="false" ht="15" hidden="false" customHeight="false" outlineLevel="0" collapsed="false">
      <c r="A171" s="6" t="n">
        <v>182</v>
      </c>
      <c r="B171" s="7" t="s">
        <v>363</v>
      </c>
      <c r="C171" s="6" t="s">
        <v>28</v>
      </c>
      <c r="D171" s="6" t="n">
        <v>1</v>
      </c>
      <c r="E171" s="8" t="n">
        <v>23400</v>
      </c>
      <c r="F171" s="7" t="s">
        <v>233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152</v>
      </c>
      <c r="R171" s="7" t="s">
        <v>31</v>
      </c>
    </row>
    <row r="172" customFormat="false" ht="15" hidden="false" customHeight="false" outlineLevel="0" collapsed="false">
      <c r="A172" s="6" t="n">
        <v>183</v>
      </c>
      <c r="B172" s="7" t="s">
        <v>364</v>
      </c>
      <c r="C172" s="6" t="s">
        <v>28</v>
      </c>
      <c r="D172" s="6" t="n">
        <v>3</v>
      </c>
      <c r="E172" s="8" t="n">
        <v>2860</v>
      </c>
      <c r="F172" s="7" t="s">
        <v>129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152</v>
      </c>
      <c r="R172" s="7" t="s">
        <v>31</v>
      </c>
    </row>
    <row r="173" customFormat="false" ht="15" hidden="false" customHeight="false" outlineLevel="0" collapsed="false">
      <c r="A173" s="6" t="n">
        <v>184</v>
      </c>
      <c r="B173" s="7" t="s">
        <v>365</v>
      </c>
      <c r="C173" s="6" t="s">
        <v>28</v>
      </c>
      <c r="D173" s="6" t="n">
        <v>3</v>
      </c>
      <c r="E173" s="8" t="n">
        <v>3250</v>
      </c>
      <c r="F173" s="7" t="s">
        <v>129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152</v>
      </c>
      <c r="R173" s="7" t="s">
        <v>31</v>
      </c>
    </row>
    <row r="174" customFormat="false" ht="15" hidden="false" customHeight="false" outlineLevel="0" collapsed="false">
      <c r="A174" s="6" t="n">
        <v>185</v>
      </c>
      <c r="B174" s="7" t="s">
        <v>366</v>
      </c>
      <c r="C174" s="6" t="s">
        <v>28</v>
      </c>
      <c r="D174" s="6" t="n">
        <v>3</v>
      </c>
      <c r="E174" s="8" t="n">
        <v>3900</v>
      </c>
      <c r="F174" s="7" t="s">
        <v>129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152</v>
      </c>
      <c r="R174" s="7" t="s">
        <v>31</v>
      </c>
    </row>
    <row r="175" customFormat="false" ht="15" hidden="false" customHeight="false" outlineLevel="0" collapsed="false">
      <c r="A175" s="6" t="n">
        <v>186</v>
      </c>
      <c r="B175" s="7" t="s">
        <v>367</v>
      </c>
      <c r="C175" s="6" t="s">
        <v>28</v>
      </c>
      <c r="D175" s="6" t="n">
        <v>3</v>
      </c>
      <c r="E175" s="8" t="n">
        <v>4550</v>
      </c>
      <c r="F175" s="7" t="s">
        <v>129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152</v>
      </c>
      <c r="R175" s="7" t="s">
        <v>31</v>
      </c>
    </row>
    <row r="176" customFormat="false" ht="15" hidden="false" customHeight="false" outlineLevel="0" collapsed="false">
      <c r="A176" s="6" t="n">
        <v>187</v>
      </c>
      <c r="B176" s="7" t="s">
        <v>368</v>
      </c>
      <c r="C176" s="6" t="s">
        <v>28</v>
      </c>
      <c r="D176" s="6" t="n">
        <v>2</v>
      </c>
      <c r="E176" s="8" t="n">
        <v>7150</v>
      </c>
      <c r="F176" s="7" t="s">
        <v>129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152</v>
      </c>
      <c r="R176" s="7" t="s">
        <v>31</v>
      </c>
    </row>
    <row r="177" customFormat="false" ht="15" hidden="false" customHeight="false" outlineLevel="0" collapsed="false">
      <c r="A177" s="6" t="n">
        <v>188</v>
      </c>
      <c r="B177" s="7" t="s">
        <v>369</v>
      </c>
      <c r="C177" s="6" t="s">
        <v>28</v>
      </c>
      <c r="D177" s="6" t="n">
        <v>1</v>
      </c>
      <c r="E177" s="8" t="n">
        <v>8450</v>
      </c>
      <c r="F177" s="7" t="s">
        <v>129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152</v>
      </c>
      <c r="R177" s="7" t="s">
        <v>31</v>
      </c>
    </row>
    <row r="178" customFormat="false" ht="15" hidden="false" customHeight="false" outlineLevel="0" collapsed="false">
      <c r="A178" s="6" t="n">
        <v>189</v>
      </c>
      <c r="B178" s="7" t="s">
        <v>370</v>
      </c>
      <c r="C178" s="6" t="s">
        <v>28</v>
      </c>
      <c r="D178" s="6" t="n">
        <v>1</v>
      </c>
      <c r="E178" s="8" t="n">
        <v>9750</v>
      </c>
      <c r="F178" s="7" t="s">
        <v>129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152</v>
      </c>
      <c r="R178" s="7" t="s">
        <v>31</v>
      </c>
    </row>
    <row r="179" customFormat="false" ht="15" hidden="false" customHeight="false" outlineLevel="0" collapsed="false">
      <c r="A179" s="6" t="n">
        <v>190</v>
      </c>
      <c r="B179" s="7" t="s">
        <v>371</v>
      </c>
      <c r="C179" s="6" t="s">
        <v>28</v>
      </c>
      <c r="D179" s="6" t="n">
        <v>2</v>
      </c>
      <c r="E179" s="8" t="n">
        <v>2340</v>
      </c>
      <c r="F179" s="7" t="s">
        <v>129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152</v>
      </c>
      <c r="R179" s="7" t="s">
        <v>31</v>
      </c>
    </row>
    <row r="180" customFormat="false" ht="15" hidden="false" customHeight="false" outlineLevel="0" collapsed="false">
      <c r="A180" s="6" t="n">
        <v>191</v>
      </c>
      <c r="B180" s="7" t="s">
        <v>371</v>
      </c>
      <c r="C180" s="6" t="s">
        <v>28</v>
      </c>
      <c r="D180" s="6" t="n">
        <v>2</v>
      </c>
      <c r="E180" s="8" t="n">
        <v>3640</v>
      </c>
      <c r="F180" s="7" t="s">
        <v>129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152</v>
      </c>
      <c r="R180" s="7" t="s">
        <v>31</v>
      </c>
    </row>
    <row r="181" customFormat="false" ht="15" hidden="false" customHeight="false" outlineLevel="0" collapsed="false">
      <c r="A181" s="6" t="n">
        <v>192</v>
      </c>
      <c r="B181" s="7" t="s">
        <v>372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152</v>
      </c>
      <c r="R181" s="7" t="s">
        <v>31</v>
      </c>
    </row>
    <row r="182" customFormat="false" ht="15" hidden="false" customHeight="false" outlineLevel="0" collapsed="false">
      <c r="A182" s="6" t="n">
        <v>193</v>
      </c>
      <c r="B182" s="7" t="s">
        <v>373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152</v>
      </c>
      <c r="R182" s="7" t="s">
        <v>31</v>
      </c>
    </row>
    <row r="183" customFormat="false" ht="15" hidden="false" customHeight="false" outlineLevel="0" collapsed="false">
      <c r="A183" s="6" t="n">
        <v>194</v>
      </c>
      <c r="B183" s="7" t="s">
        <v>374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152</v>
      </c>
      <c r="R183" s="7" t="s">
        <v>31</v>
      </c>
    </row>
    <row r="184" customFormat="false" ht="15" hidden="false" customHeight="false" outlineLevel="0" collapsed="false">
      <c r="A184" s="6" t="n">
        <v>195</v>
      </c>
      <c r="B184" s="7" t="s">
        <v>375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152</v>
      </c>
      <c r="R184" s="7" t="s">
        <v>31</v>
      </c>
    </row>
    <row r="185" customFormat="false" ht="15" hidden="false" customHeight="false" outlineLevel="0" collapsed="false">
      <c r="A185" s="6" t="n">
        <v>196</v>
      </c>
      <c r="B185" s="7" t="s">
        <v>376</v>
      </c>
      <c r="C185" s="6" t="s">
        <v>28</v>
      </c>
      <c r="D185" s="6" t="n">
        <v>2</v>
      </c>
      <c r="E185" s="8" t="n">
        <v>4550</v>
      </c>
      <c r="F185" s="7" t="s">
        <v>129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152</v>
      </c>
      <c r="R185" s="7" t="s">
        <v>31</v>
      </c>
    </row>
    <row r="186" customFormat="false" ht="15" hidden="false" customHeight="false" outlineLevel="0" collapsed="false">
      <c r="A186" s="6" t="n">
        <v>197</v>
      </c>
      <c r="B186" s="7" t="s">
        <v>377</v>
      </c>
      <c r="C186" s="6" t="s">
        <v>28</v>
      </c>
      <c r="D186" s="6" t="n">
        <v>1</v>
      </c>
      <c r="E186" s="8" t="n">
        <v>17940</v>
      </c>
      <c r="F186" s="7" t="s">
        <v>178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43</v>
      </c>
      <c r="Q186" s="7" t="s">
        <v>378</v>
      </c>
      <c r="R186" s="7"/>
    </row>
    <row r="187" customFormat="false" ht="22.35" hidden="false" customHeight="false" outlineLevel="0" collapsed="false">
      <c r="A187" s="6" t="n">
        <v>198</v>
      </c>
      <c r="B187" s="7" t="s">
        <v>379</v>
      </c>
      <c r="C187" s="6" t="s">
        <v>28</v>
      </c>
      <c r="D187" s="6" t="n">
        <v>1</v>
      </c>
      <c r="E187" s="8" t="n">
        <v>18850</v>
      </c>
      <c r="F187" s="7" t="s">
        <v>178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43</v>
      </c>
      <c r="Q187" s="7" t="s">
        <v>380</v>
      </c>
      <c r="R187" s="7"/>
    </row>
    <row r="188" customFormat="false" ht="15" hidden="false" customHeight="false" outlineLevel="0" collapsed="false">
      <c r="A188" s="6" t="n">
        <v>199</v>
      </c>
      <c r="B188" s="7" t="s">
        <v>381</v>
      </c>
      <c r="C188" s="6" t="s">
        <v>28</v>
      </c>
      <c r="D188" s="6" t="n">
        <v>1</v>
      </c>
      <c r="E188" s="8" t="n">
        <v>19500</v>
      </c>
      <c r="F188" s="7" t="s">
        <v>178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43</v>
      </c>
      <c r="Q188" s="7" t="s">
        <v>382</v>
      </c>
      <c r="R188" s="7"/>
    </row>
    <row r="189" customFormat="false" ht="15" hidden="false" customHeight="false" outlineLevel="0" collapsed="false">
      <c r="A189" s="6" t="n">
        <v>200</v>
      </c>
      <c r="B189" s="7" t="s">
        <v>383</v>
      </c>
      <c r="C189" s="6" t="s">
        <v>28</v>
      </c>
      <c r="D189" s="6" t="n">
        <v>1</v>
      </c>
      <c r="E189" s="8" t="n">
        <v>20800</v>
      </c>
      <c r="F189" s="7" t="s">
        <v>178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43</v>
      </c>
      <c r="Q189" s="7" t="s">
        <v>384</v>
      </c>
      <c r="R189" s="7"/>
    </row>
    <row r="190" customFormat="false" ht="15" hidden="false" customHeight="false" outlineLevel="0" collapsed="false">
      <c r="A190" s="6" t="n">
        <v>201</v>
      </c>
      <c r="B190" s="7" t="s">
        <v>385</v>
      </c>
      <c r="C190" s="6" t="s">
        <v>28</v>
      </c>
      <c r="D190" s="6" t="n">
        <v>1</v>
      </c>
      <c r="E190" s="8" t="n">
        <v>22750</v>
      </c>
      <c r="F190" s="7" t="s">
        <v>178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43</v>
      </c>
      <c r="Q190" s="7" t="s">
        <v>386</v>
      </c>
      <c r="R190" s="7"/>
    </row>
    <row r="191" customFormat="false" ht="15" hidden="false" customHeight="false" outlineLevel="0" collapsed="false">
      <c r="A191" s="6" t="n">
        <v>202</v>
      </c>
      <c r="B191" s="7" t="s">
        <v>387</v>
      </c>
      <c r="C191" s="6" t="s">
        <v>28</v>
      </c>
      <c r="D191" s="6" t="n">
        <v>2</v>
      </c>
      <c r="E191" s="8" t="n">
        <v>2340</v>
      </c>
      <c r="F191" s="7" t="s">
        <v>129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152</v>
      </c>
      <c r="R191" s="7" t="s">
        <v>31</v>
      </c>
    </row>
    <row r="192" customFormat="false" ht="22.35" hidden="false" customHeight="false" outlineLevel="0" collapsed="false">
      <c r="A192" s="6" t="n">
        <v>204</v>
      </c>
      <c r="B192" s="7" t="s">
        <v>388</v>
      </c>
      <c r="C192" s="6" t="s">
        <v>28</v>
      </c>
      <c r="D192" s="6" t="n">
        <v>6</v>
      </c>
      <c r="E192" s="8" t="n">
        <v>845</v>
      </c>
      <c r="F192" s="7" t="s">
        <v>389</v>
      </c>
      <c r="G192" s="9" t="n">
        <v>5480</v>
      </c>
      <c r="H192" s="9" t="n">
        <v>7130</v>
      </c>
      <c r="I192" s="10" t="n">
        <f aca="false">IF(E192=0,0,(E192-H192)/E192)</f>
        <v>-7.43786982248521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8200</v>
      </c>
      <c r="L192" s="8" t="n">
        <f aca="false">D192*E192</f>
        <v>5070</v>
      </c>
      <c r="M192" s="8" t="n">
        <f aca="false">D192*K192</f>
        <v>49200</v>
      </c>
      <c r="N192" s="8" t="n">
        <f aca="false">D192*H192</f>
        <v>42780</v>
      </c>
      <c r="O192" s="6" t="str">
        <f aca="false">IF(ISNUMBER(SEARCH(C192,F192)),"","YES")</f>
        <v>YES</v>
      </c>
      <c r="P192" s="6" t="s">
        <v>24</v>
      </c>
      <c r="Q192" s="7" t="s">
        <v>390</v>
      </c>
      <c r="R192" s="7" t="s">
        <v>31</v>
      </c>
    </row>
    <row r="193" customFormat="false" ht="22.35" hidden="false" customHeight="false" outlineLevel="0" collapsed="false">
      <c r="A193" s="6" t="n">
        <v>205</v>
      </c>
      <c r="B193" s="7" t="s">
        <v>391</v>
      </c>
      <c r="C193" s="6" t="s">
        <v>28</v>
      </c>
      <c r="D193" s="6" t="n">
        <v>6</v>
      </c>
      <c r="E193" s="8" t="n">
        <v>910</v>
      </c>
      <c r="F193" s="7" t="s">
        <v>389</v>
      </c>
      <c r="G193" s="9" t="n">
        <v>5960</v>
      </c>
      <c r="H193" s="9" t="n">
        <v>7750</v>
      </c>
      <c r="I193" s="10" t="n">
        <f aca="false">IF(E193=0,0,(E193-H193)/E193)</f>
        <v>-7.51648351648352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8910</v>
      </c>
      <c r="L193" s="8" t="n">
        <f aca="false">D193*E193</f>
        <v>5460</v>
      </c>
      <c r="M193" s="8" t="n">
        <f aca="false">D193*K193</f>
        <v>53460</v>
      </c>
      <c r="N193" s="8" t="n">
        <f aca="false">D193*H193</f>
        <v>46500</v>
      </c>
      <c r="O193" s="6" t="str">
        <f aca="false">IF(ISNUMBER(SEARCH(C193,F193)),"","YES")</f>
        <v>YES</v>
      </c>
      <c r="P193" s="6" t="s">
        <v>24</v>
      </c>
      <c r="Q193" s="7" t="s">
        <v>390</v>
      </c>
      <c r="R193" s="7" t="s">
        <v>31</v>
      </c>
    </row>
    <row r="194" customFormat="false" ht="22.35" hidden="false" customHeight="false" outlineLevel="0" collapsed="false">
      <c r="A194" s="6" t="n">
        <v>206</v>
      </c>
      <c r="B194" s="7" t="s">
        <v>392</v>
      </c>
      <c r="C194" s="6" t="s">
        <v>28</v>
      </c>
      <c r="D194" s="6" t="n">
        <v>6</v>
      </c>
      <c r="E194" s="8" t="n">
        <v>1170</v>
      </c>
      <c r="F194" s="7" t="s">
        <v>389</v>
      </c>
      <c r="G194" s="9" t="n">
        <v>6930</v>
      </c>
      <c r="H194" s="9" t="n">
        <v>9010</v>
      </c>
      <c r="I194" s="10" t="n">
        <f aca="false">IF(E194=0,0,(E194-H194)/E194)</f>
        <v>-6.7008547008547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10360</v>
      </c>
      <c r="L194" s="8" t="n">
        <f aca="false">D194*E194</f>
        <v>7020</v>
      </c>
      <c r="M194" s="8" t="n">
        <f aca="false">D194*K194</f>
        <v>62160</v>
      </c>
      <c r="N194" s="8" t="n">
        <f aca="false">D194*H194</f>
        <v>54060</v>
      </c>
      <c r="O194" s="6" t="str">
        <f aca="false">IF(ISNUMBER(SEARCH(C194,F194)),"","YES")</f>
        <v>YES</v>
      </c>
      <c r="P194" s="6" t="s">
        <v>24</v>
      </c>
      <c r="Q194" s="7" t="s">
        <v>390</v>
      </c>
      <c r="R194" s="7" t="s">
        <v>31</v>
      </c>
    </row>
    <row r="195" customFormat="false" ht="22.35" hidden="false" customHeight="false" outlineLevel="0" collapsed="false">
      <c r="A195" s="6" t="n">
        <v>207</v>
      </c>
      <c r="B195" s="7" t="s">
        <v>393</v>
      </c>
      <c r="C195" s="6" t="s">
        <v>28</v>
      </c>
      <c r="D195" s="6" t="n">
        <v>4</v>
      </c>
      <c r="E195" s="8" t="n">
        <v>1430</v>
      </c>
      <c r="F195" s="7" t="s">
        <v>389</v>
      </c>
      <c r="G195" s="9" t="n">
        <v>8960</v>
      </c>
      <c r="H195" s="9" t="n">
        <v>11640</v>
      </c>
      <c r="I195" s="10" t="n">
        <f aca="false">IF(E195=0,0,(E195-H195)/E195)</f>
        <v>-7.13986013986014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13390</v>
      </c>
      <c r="L195" s="8" t="n">
        <f aca="false">D195*E195</f>
        <v>5720</v>
      </c>
      <c r="M195" s="8" t="n">
        <f aca="false">D195*K195</f>
        <v>53560</v>
      </c>
      <c r="N195" s="8" t="n">
        <f aca="false">D195*H195</f>
        <v>46560</v>
      </c>
      <c r="O195" s="6" t="str">
        <f aca="false">IF(ISNUMBER(SEARCH(C195,F195)),"","YES")</f>
        <v>YES</v>
      </c>
      <c r="P195" s="6" t="s">
        <v>24</v>
      </c>
      <c r="Q195" s="7" t="s">
        <v>390</v>
      </c>
      <c r="R195" s="7" t="s">
        <v>31</v>
      </c>
    </row>
    <row r="196" customFormat="false" ht="22.35" hidden="false" customHeight="false" outlineLevel="0" collapsed="false">
      <c r="A196" s="6" t="n">
        <v>208</v>
      </c>
      <c r="B196" s="7" t="s">
        <v>394</v>
      </c>
      <c r="C196" s="6" t="s">
        <v>28</v>
      </c>
      <c r="D196" s="6" t="n">
        <v>3</v>
      </c>
      <c r="E196" s="8" t="n">
        <v>1690</v>
      </c>
      <c r="F196" s="7" t="s">
        <v>389</v>
      </c>
      <c r="G196" s="9" t="n">
        <v>11050</v>
      </c>
      <c r="H196" s="9" t="n">
        <v>14360</v>
      </c>
      <c r="I196" s="10" t="n">
        <f aca="false">IF(E196=0,0,(E196-H196)/E196)</f>
        <v>-7.49704142011834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16510</v>
      </c>
      <c r="L196" s="8" t="n">
        <f aca="false">D196*E196</f>
        <v>5070</v>
      </c>
      <c r="M196" s="8" t="n">
        <f aca="false">D196*K196</f>
        <v>49530</v>
      </c>
      <c r="N196" s="8" t="n">
        <f aca="false">D196*H196</f>
        <v>43080</v>
      </c>
      <c r="O196" s="6" t="str">
        <f aca="false">IF(ISNUMBER(SEARCH(C196,F196)),"","YES")</f>
        <v>YES</v>
      </c>
      <c r="P196" s="6" t="s">
        <v>24</v>
      </c>
      <c r="Q196" s="7" t="s">
        <v>390</v>
      </c>
      <c r="R196" s="7" t="s">
        <v>31</v>
      </c>
    </row>
    <row r="197" customFormat="false" ht="22.35" hidden="false" customHeight="false" outlineLevel="0" collapsed="false">
      <c r="A197" s="6" t="n">
        <v>209</v>
      </c>
      <c r="B197" s="7" t="s">
        <v>395</v>
      </c>
      <c r="C197" s="6" t="s">
        <v>28</v>
      </c>
      <c r="D197" s="6" t="n">
        <v>3</v>
      </c>
      <c r="E197" s="8" t="n">
        <v>2340</v>
      </c>
      <c r="F197" s="7" t="s">
        <v>389</v>
      </c>
      <c r="G197" s="9" t="n">
        <v>15380</v>
      </c>
      <c r="H197" s="9" t="n">
        <v>19990</v>
      </c>
      <c r="I197" s="10" t="n">
        <f aca="false">IF(E197=0,0,(E197-H197)/E197)</f>
        <v>-7.54273504273504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22990</v>
      </c>
      <c r="L197" s="8" t="n">
        <f aca="false">D197*E197</f>
        <v>7020</v>
      </c>
      <c r="M197" s="8" t="n">
        <f aca="false">D197*K197</f>
        <v>68970</v>
      </c>
      <c r="N197" s="8" t="n">
        <f aca="false">D197*H197</f>
        <v>59970</v>
      </c>
      <c r="O197" s="6" t="str">
        <f aca="false">IF(ISNUMBER(SEARCH(C197,F197)),"","YES")</f>
        <v>YES</v>
      </c>
      <c r="P197" s="6" t="s">
        <v>24</v>
      </c>
      <c r="Q197" s="7" t="s">
        <v>390</v>
      </c>
      <c r="R197" s="7" t="s">
        <v>31</v>
      </c>
    </row>
    <row r="198" customFormat="false" ht="22.35" hidden="false" customHeight="false" outlineLevel="0" collapsed="false">
      <c r="A198" s="6" t="n">
        <v>210</v>
      </c>
      <c r="B198" s="7" t="s">
        <v>396</v>
      </c>
      <c r="C198" s="6" t="s">
        <v>28</v>
      </c>
      <c r="D198" s="6" t="n">
        <v>2</v>
      </c>
      <c r="E198" s="8" t="n">
        <v>2860</v>
      </c>
      <c r="F198" s="7" t="s">
        <v>389</v>
      </c>
      <c r="G198" s="9" t="n">
        <v>17610</v>
      </c>
      <c r="H198" s="9" t="n">
        <v>22890</v>
      </c>
      <c r="I198" s="10" t="n">
        <f aca="false">IF(E198=0,0,(E198-H198)/E198)</f>
        <v>-7.0034965034965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26320</v>
      </c>
      <c r="L198" s="8" t="n">
        <f aca="false">D198*E198</f>
        <v>5720</v>
      </c>
      <c r="M198" s="8" t="n">
        <f aca="false">D198*K198</f>
        <v>52640</v>
      </c>
      <c r="N198" s="8" t="n">
        <f aca="false">D198*H198</f>
        <v>45780</v>
      </c>
      <c r="O198" s="6" t="str">
        <f aca="false">IF(ISNUMBER(SEARCH(C198,F198)),"","YES")</f>
        <v>YES</v>
      </c>
      <c r="P198" s="6" t="s">
        <v>24</v>
      </c>
      <c r="Q198" s="7" t="s">
        <v>390</v>
      </c>
      <c r="R198" s="7" t="s">
        <v>31</v>
      </c>
    </row>
    <row r="199" customFormat="false" ht="22.35" hidden="false" customHeight="false" outlineLevel="0" collapsed="false">
      <c r="A199" s="6" t="n">
        <v>211</v>
      </c>
      <c r="B199" s="7" t="s">
        <v>397</v>
      </c>
      <c r="C199" s="6" t="s">
        <v>28</v>
      </c>
      <c r="D199" s="6" t="n">
        <v>1</v>
      </c>
      <c r="E199" s="8" t="n">
        <v>4160</v>
      </c>
      <c r="F199" s="7" t="s">
        <v>389</v>
      </c>
      <c r="G199" s="9" t="n">
        <v>22180</v>
      </c>
      <c r="H199" s="9" t="n">
        <v>28830</v>
      </c>
      <c r="I199" s="10" t="n">
        <f aca="false">IF(E199=0,0,(E199-H199)/E199)</f>
        <v>-5.93028846153846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33150</v>
      </c>
      <c r="L199" s="8" t="n">
        <f aca="false">D199*E199</f>
        <v>4160</v>
      </c>
      <c r="M199" s="8" t="n">
        <f aca="false">D199*K199</f>
        <v>33150</v>
      </c>
      <c r="N199" s="8" t="n">
        <f aca="false">D199*H199</f>
        <v>28830</v>
      </c>
      <c r="O199" s="6" t="str">
        <f aca="false">IF(ISNUMBER(SEARCH(C199,F199)),"","YES")</f>
        <v>YES</v>
      </c>
      <c r="P199" s="6" t="s">
        <v>24</v>
      </c>
      <c r="Q199" s="7" t="s">
        <v>390</v>
      </c>
      <c r="R199" s="7" t="s">
        <v>31</v>
      </c>
    </row>
    <row r="200" customFormat="false" ht="22.35" hidden="false" customHeight="false" outlineLevel="0" collapsed="false">
      <c r="A200" s="6" t="n">
        <v>212</v>
      </c>
      <c r="B200" s="7" t="s">
        <v>398</v>
      </c>
      <c r="C200" s="6" t="s">
        <v>28</v>
      </c>
      <c r="D200" s="6" t="n">
        <v>1</v>
      </c>
      <c r="E200" s="8" t="n">
        <v>5460</v>
      </c>
      <c r="F200" s="7" t="s">
        <v>389</v>
      </c>
      <c r="G200" s="9" t="n">
        <v>25690</v>
      </c>
      <c r="H200" s="9" t="n">
        <v>33400</v>
      </c>
      <c r="I200" s="10" t="n">
        <f aca="false">IF(E200=0,0,(E200-H200)/E200)</f>
        <v>-5.11721611721612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38410</v>
      </c>
      <c r="L200" s="8" t="n">
        <f aca="false">D200*E200</f>
        <v>5460</v>
      </c>
      <c r="M200" s="8" t="n">
        <f aca="false">D200*K200</f>
        <v>38410</v>
      </c>
      <c r="N200" s="8" t="n">
        <f aca="false">D200*H200</f>
        <v>33400</v>
      </c>
      <c r="O200" s="6" t="str">
        <f aca="false">IF(ISNUMBER(SEARCH(C200,F200)),"","YES")</f>
        <v>YES</v>
      </c>
      <c r="P200" s="6" t="s">
        <v>24</v>
      </c>
      <c r="Q200" s="7" t="s">
        <v>390</v>
      </c>
      <c r="R200" s="7" t="s">
        <v>31</v>
      </c>
    </row>
    <row r="201" customFormat="false" ht="15" hidden="false" customHeight="false" outlineLevel="0" collapsed="false">
      <c r="A201" s="6" t="n">
        <v>213</v>
      </c>
      <c r="B201" s="7" t="s">
        <v>399</v>
      </c>
      <c r="C201" s="6" t="s">
        <v>28</v>
      </c>
      <c r="D201" s="6" t="n">
        <v>2</v>
      </c>
      <c r="E201" s="8" t="n">
        <v>455</v>
      </c>
      <c r="F201" s="7" t="s">
        <v>129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152</v>
      </c>
      <c r="R201" s="7" t="s">
        <v>31</v>
      </c>
    </row>
    <row r="202" customFormat="false" ht="15" hidden="false" customHeight="false" outlineLevel="0" collapsed="false">
      <c r="A202" s="6" t="n">
        <v>214</v>
      </c>
      <c r="B202" s="7" t="s">
        <v>400</v>
      </c>
      <c r="C202" s="6" t="s">
        <v>28</v>
      </c>
      <c r="D202" s="6" t="n">
        <v>2</v>
      </c>
      <c r="E202" s="8" t="n">
        <v>494</v>
      </c>
      <c r="F202" s="7" t="s">
        <v>129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152</v>
      </c>
      <c r="R202" s="7" t="s">
        <v>31</v>
      </c>
    </row>
    <row r="203" customFormat="false" ht="15" hidden="false" customHeight="false" outlineLevel="0" collapsed="false">
      <c r="A203" s="6" t="n">
        <v>215</v>
      </c>
      <c r="B203" s="7" t="s">
        <v>401</v>
      </c>
      <c r="C203" s="6" t="s">
        <v>28</v>
      </c>
      <c r="D203" s="6" t="n">
        <v>2</v>
      </c>
      <c r="E203" s="8" t="n">
        <v>585</v>
      </c>
      <c r="F203" s="7" t="s">
        <v>129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152</v>
      </c>
      <c r="R203" s="7" t="s">
        <v>31</v>
      </c>
    </row>
    <row r="204" customFormat="false" ht="15" hidden="false" customHeight="false" outlineLevel="0" collapsed="false">
      <c r="A204" s="6" t="n">
        <v>216</v>
      </c>
      <c r="B204" s="7" t="s">
        <v>402</v>
      </c>
      <c r="C204" s="6" t="s">
        <v>28</v>
      </c>
      <c r="D204" s="6" t="n">
        <v>2</v>
      </c>
      <c r="E204" s="8" t="n">
        <v>715</v>
      </c>
      <c r="F204" s="7" t="s">
        <v>129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152</v>
      </c>
      <c r="R204" s="7" t="s">
        <v>31</v>
      </c>
    </row>
    <row r="205" customFormat="false" ht="15" hidden="false" customHeight="false" outlineLevel="0" collapsed="false">
      <c r="A205" s="6" t="n">
        <v>217</v>
      </c>
      <c r="B205" s="7" t="s">
        <v>403</v>
      </c>
      <c r="C205" s="6" t="s">
        <v>28</v>
      </c>
      <c r="D205" s="6" t="n">
        <v>2</v>
      </c>
      <c r="E205" s="8" t="n">
        <v>910</v>
      </c>
      <c r="F205" s="7" t="s">
        <v>129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152</v>
      </c>
      <c r="R205" s="7" t="s">
        <v>31</v>
      </c>
    </row>
    <row r="206" customFormat="false" ht="15" hidden="false" customHeight="false" outlineLevel="0" collapsed="false">
      <c r="A206" s="6" t="n">
        <v>218</v>
      </c>
      <c r="B206" s="7" t="s">
        <v>404</v>
      </c>
      <c r="C206" s="6" t="s">
        <v>28</v>
      </c>
      <c r="D206" s="6" t="n">
        <v>2</v>
      </c>
      <c r="E206" s="8" t="n">
        <v>1170</v>
      </c>
      <c r="F206" s="7" t="s">
        <v>129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152</v>
      </c>
      <c r="R206" s="7" t="s">
        <v>31</v>
      </c>
    </row>
    <row r="207" customFormat="false" ht="15" hidden="false" customHeight="false" outlineLevel="0" collapsed="false">
      <c r="A207" s="6" t="n">
        <v>219</v>
      </c>
      <c r="B207" s="7" t="s">
        <v>405</v>
      </c>
      <c r="C207" s="6" t="s">
        <v>28</v>
      </c>
      <c r="D207" s="6" t="n">
        <v>1</v>
      </c>
      <c r="E207" s="8" t="n">
        <v>1040</v>
      </c>
      <c r="F207" s="7" t="s">
        <v>129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152</v>
      </c>
      <c r="R207" s="7" t="s">
        <v>31</v>
      </c>
    </row>
    <row r="208" customFormat="false" ht="15" hidden="false" customHeight="false" outlineLevel="0" collapsed="false">
      <c r="A208" s="6" t="n">
        <v>220</v>
      </c>
      <c r="B208" s="7" t="s">
        <v>406</v>
      </c>
      <c r="C208" s="6" t="s">
        <v>28</v>
      </c>
      <c r="D208" s="6" t="n">
        <v>1</v>
      </c>
      <c r="E208" s="8" t="n">
        <v>1430</v>
      </c>
      <c r="F208" s="7" t="s">
        <v>129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152</v>
      </c>
      <c r="R208" s="7" t="s">
        <v>31</v>
      </c>
    </row>
    <row r="209" customFormat="false" ht="15" hidden="false" customHeight="false" outlineLevel="0" collapsed="false">
      <c r="A209" s="6" t="n">
        <v>221</v>
      </c>
      <c r="B209" s="7" t="s">
        <v>407</v>
      </c>
      <c r="C209" s="6" t="s">
        <v>28</v>
      </c>
      <c r="D209" s="6" t="n">
        <v>1</v>
      </c>
      <c r="E209" s="8" t="n">
        <v>1950</v>
      </c>
      <c r="F209" s="7" t="s">
        <v>129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152</v>
      </c>
      <c r="R209" s="7" t="s">
        <v>31</v>
      </c>
    </row>
    <row r="210" customFormat="false" ht="15" hidden="false" customHeight="false" outlineLevel="0" collapsed="false">
      <c r="A210" s="6" t="n">
        <v>222</v>
      </c>
      <c r="B210" s="7" t="s">
        <v>408</v>
      </c>
      <c r="C210" s="6" t="s">
        <v>28</v>
      </c>
      <c r="D210" s="6" t="n">
        <v>1</v>
      </c>
      <c r="E210" s="8" t="n">
        <v>15600</v>
      </c>
      <c r="F210" s="7" t="s">
        <v>409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152</v>
      </c>
      <c r="R210" s="7" t="s">
        <v>31</v>
      </c>
    </row>
    <row r="211" customFormat="false" ht="32.8" hidden="false" customHeight="false" outlineLevel="0" collapsed="false">
      <c r="A211" s="6" t="n">
        <v>223</v>
      </c>
      <c r="B211" s="7" t="s">
        <v>410</v>
      </c>
      <c r="C211" s="6" t="s">
        <v>28</v>
      </c>
      <c r="D211" s="6" t="n">
        <v>2</v>
      </c>
      <c r="E211" s="8" t="n">
        <v>30940</v>
      </c>
      <c r="F211" s="7" t="s">
        <v>411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24</v>
      </c>
      <c r="Q211" s="7" t="s">
        <v>412</v>
      </c>
      <c r="R211" s="7" t="s">
        <v>413</v>
      </c>
    </row>
    <row r="212" customFormat="false" ht="22.35" hidden="false" customHeight="false" outlineLevel="0" collapsed="false">
      <c r="A212" s="6" t="n">
        <v>224</v>
      </c>
      <c r="B212" s="7" t="s">
        <v>414</v>
      </c>
      <c r="C212" s="6" t="s">
        <v>28</v>
      </c>
      <c r="D212" s="6" t="n">
        <v>2</v>
      </c>
      <c r="E212" s="8" t="n">
        <v>54600</v>
      </c>
      <c r="F212" s="7" t="s">
        <v>415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416</v>
      </c>
      <c r="R212" s="7" t="s">
        <v>417</v>
      </c>
    </row>
    <row r="213" customFormat="false" ht="15" hidden="false" customHeight="false" outlineLevel="0" collapsed="false">
      <c r="A213" s="6" t="n">
        <v>225</v>
      </c>
      <c r="B213" s="7" t="s">
        <v>418</v>
      </c>
      <c r="C213" s="6" t="s">
        <v>28</v>
      </c>
      <c r="D213" s="6" t="n">
        <v>24</v>
      </c>
      <c r="E213" s="8" t="n">
        <v>1170</v>
      </c>
      <c r="F213" s="7" t="s">
        <v>231</v>
      </c>
      <c r="G213" s="9" t="n">
        <v>1800</v>
      </c>
      <c r="H213" s="9" t="n">
        <v>2600</v>
      </c>
      <c r="I213" s="10" t="n">
        <f aca="false">IF(E213=0,0,(E213-H213)/E213)</f>
        <v>-1.22222222222222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2990</v>
      </c>
      <c r="L213" s="8" t="n">
        <f aca="false">D213*E213</f>
        <v>28080</v>
      </c>
      <c r="M213" s="8" t="n">
        <f aca="false">D213*K213</f>
        <v>71760</v>
      </c>
      <c r="N213" s="8" t="n">
        <f aca="false">D213*H213</f>
        <v>62400</v>
      </c>
      <c r="O213" s="6" t="str">
        <f aca="false">IF(ISNUMBER(SEARCH(C213,F213)),"","YES")</f>
        <v>YES</v>
      </c>
      <c r="P213" s="6" t="s">
        <v>24</v>
      </c>
      <c r="Q213" s="7" t="s">
        <v>419</v>
      </c>
      <c r="R213" s="7" t="s">
        <v>31</v>
      </c>
    </row>
    <row r="214" customFormat="false" ht="15" hidden="false" customHeight="false" outlineLevel="0" collapsed="false">
      <c r="A214" s="6" t="n">
        <v>226</v>
      </c>
      <c r="B214" s="7" t="s">
        <v>420</v>
      </c>
      <c r="C214" s="6" t="s">
        <v>28</v>
      </c>
      <c r="D214" s="6" t="n">
        <v>24</v>
      </c>
      <c r="E214" s="8" t="n">
        <v>1430</v>
      </c>
      <c r="F214" s="7" t="s">
        <v>231</v>
      </c>
      <c r="G214" s="9" t="n">
        <v>2600</v>
      </c>
      <c r="H214" s="9" t="n">
        <v>3600</v>
      </c>
      <c r="I214" s="10" t="n">
        <f aca="false">IF(E214=0,0,(E214-H214)/E214)</f>
        <v>-1.51748251748252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4140</v>
      </c>
      <c r="L214" s="8" t="n">
        <f aca="false">D214*E214</f>
        <v>34320</v>
      </c>
      <c r="M214" s="8" t="n">
        <f aca="false">D214*K214</f>
        <v>99360</v>
      </c>
      <c r="N214" s="8" t="n">
        <f aca="false">D214*H214</f>
        <v>86400</v>
      </c>
      <c r="O214" s="6" t="str">
        <f aca="false">IF(ISNUMBER(SEARCH(C214,F214)),"","YES")</f>
        <v>YES</v>
      </c>
      <c r="P214" s="6" t="s">
        <v>24</v>
      </c>
      <c r="Q214" s="7" t="s">
        <v>419</v>
      </c>
      <c r="R214" s="7" t="s">
        <v>31</v>
      </c>
    </row>
    <row r="215" customFormat="false" ht="15" hidden="false" customHeight="false" outlineLevel="0" collapsed="false">
      <c r="A215" s="6" t="n">
        <v>227</v>
      </c>
      <c r="B215" s="7" t="s">
        <v>421</v>
      </c>
      <c r="C215" s="6" t="s">
        <v>28</v>
      </c>
      <c r="D215" s="6" t="n">
        <v>24</v>
      </c>
      <c r="E215" s="8" t="n">
        <v>1820</v>
      </c>
      <c r="F215" s="7" t="s">
        <v>231</v>
      </c>
      <c r="G215" s="9" t="n">
        <v>3500</v>
      </c>
      <c r="H215" s="9" t="n">
        <v>4800</v>
      </c>
      <c r="I215" s="10" t="n">
        <f aca="false">IF(E215=0,0,(E215-H215)/E215)</f>
        <v>-1.63736263736264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5520</v>
      </c>
      <c r="L215" s="8" t="n">
        <f aca="false">D215*E215</f>
        <v>43680</v>
      </c>
      <c r="M215" s="8" t="n">
        <f aca="false">D215*K215</f>
        <v>132480</v>
      </c>
      <c r="N215" s="8" t="n">
        <f aca="false">D215*H215</f>
        <v>115200</v>
      </c>
      <c r="O215" s="6" t="str">
        <f aca="false">IF(ISNUMBER(SEARCH(C215,F215)),"","YES")</f>
        <v>YES</v>
      </c>
      <c r="P215" s="6" t="s">
        <v>24</v>
      </c>
      <c r="Q215" s="7" t="s">
        <v>419</v>
      </c>
      <c r="R215" s="7" t="s">
        <v>31</v>
      </c>
    </row>
    <row r="216" customFormat="false" ht="15" hidden="false" customHeight="false" outlineLevel="0" collapsed="false">
      <c r="A216" s="6" t="n">
        <v>228</v>
      </c>
      <c r="B216" s="7" t="s">
        <v>422</v>
      </c>
      <c r="C216" s="6" t="s">
        <v>28</v>
      </c>
      <c r="D216" s="6" t="n">
        <v>24</v>
      </c>
      <c r="E216" s="8" t="n">
        <v>2860</v>
      </c>
      <c r="F216" s="7" t="s">
        <v>231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24</v>
      </c>
      <c r="Q216" s="7" t="s">
        <v>419</v>
      </c>
      <c r="R216" s="7" t="s">
        <v>31</v>
      </c>
    </row>
    <row r="217" customFormat="false" ht="15" hidden="false" customHeight="false" outlineLevel="0" collapsed="false">
      <c r="A217" s="6" t="n">
        <v>229</v>
      </c>
      <c r="B217" s="7" t="s">
        <v>423</v>
      </c>
      <c r="C217" s="6" t="s">
        <v>28</v>
      </c>
      <c r="D217" s="6" t="n">
        <v>24</v>
      </c>
      <c r="E217" s="8" t="n">
        <v>2340</v>
      </c>
      <c r="F217" s="7" t="s">
        <v>231</v>
      </c>
      <c r="G217" s="9" t="n">
        <v>3200</v>
      </c>
      <c r="H217" s="9" t="n">
        <v>4500</v>
      </c>
      <c r="I217" s="10" t="n">
        <f aca="false">IF(E217=0,0,(E217-H217)/E217)</f>
        <v>-0.923076923076923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5180</v>
      </c>
      <c r="L217" s="8" t="n">
        <f aca="false">D217*E217</f>
        <v>56160</v>
      </c>
      <c r="M217" s="8" t="n">
        <f aca="false">D217*K217</f>
        <v>124320</v>
      </c>
      <c r="N217" s="8" t="n">
        <f aca="false">D217*H217</f>
        <v>108000</v>
      </c>
      <c r="O217" s="6" t="str">
        <f aca="false">IF(ISNUMBER(SEARCH(C217,F217)),"","YES")</f>
        <v>YES</v>
      </c>
      <c r="P217" s="6" t="s">
        <v>24</v>
      </c>
      <c r="Q217" s="7" t="s">
        <v>419</v>
      </c>
      <c r="R217" s="7" t="s">
        <v>31</v>
      </c>
    </row>
    <row r="218" customFormat="false" ht="32.8" hidden="false" customHeight="false" outlineLevel="0" collapsed="false">
      <c r="A218" s="6" t="n">
        <v>230</v>
      </c>
      <c r="B218" s="7" t="s">
        <v>424</v>
      </c>
      <c r="C218" s="6" t="s">
        <v>28</v>
      </c>
      <c r="D218" s="6" t="n">
        <v>1</v>
      </c>
      <c r="E218" s="8" t="n">
        <v>9750</v>
      </c>
      <c r="F218" s="7" t="s">
        <v>425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24</v>
      </c>
      <c r="Q218" s="7" t="s">
        <v>426</v>
      </c>
      <c r="R218" s="7" t="s">
        <v>427</v>
      </c>
    </row>
    <row r="219" customFormat="false" ht="32.8" hidden="false" customHeight="false" outlineLevel="0" collapsed="false">
      <c r="A219" s="6" t="n">
        <v>231</v>
      </c>
      <c r="B219" s="7" t="s">
        <v>428</v>
      </c>
      <c r="C219" s="6" t="s">
        <v>28</v>
      </c>
      <c r="D219" s="6" t="n">
        <v>1</v>
      </c>
      <c r="E219" s="8" t="n">
        <v>12350</v>
      </c>
      <c r="F219" s="7" t="s">
        <v>429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24</v>
      </c>
      <c r="Q219" s="7" t="s">
        <v>430</v>
      </c>
      <c r="R219" s="7" t="s">
        <v>427</v>
      </c>
    </row>
    <row r="220" customFormat="false" ht="22.35" hidden="false" customHeight="false" outlineLevel="0" collapsed="false">
      <c r="A220" s="6" t="n">
        <v>233</v>
      </c>
      <c r="B220" s="7" t="s">
        <v>431</v>
      </c>
      <c r="C220" s="6" t="s">
        <v>118</v>
      </c>
      <c r="D220" s="6" t="n">
        <v>2</v>
      </c>
      <c r="E220" s="8" t="n">
        <v>52000</v>
      </c>
      <c r="F220" s="7" t="s">
        <v>118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43</v>
      </c>
      <c r="Q220" s="7" t="s">
        <v>432</v>
      </c>
      <c r="R220" s="7"/>
    </row>
    <row r="221" customFormat="false" ht="22.35" hidden="false" customHeight="false" outlineLevel="0" collapsed="false">
      <c r="A221" s="6" t="n">
        <v>234</v>
      </c>
      <c r="B221" s="7" t="s">
        <v>433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51</v>
      </c>
      <c r="Q221" s="7" t="s">
        <v>434</v>
      </c>
      <c r="R221" s="7" t="s">
        <v>53</v>
      </c>
    </row>
    <row r="222" customFormat="false" ht="22.35" hidden="false" customHeight="false" outlineLevel="0" collapsed="false">
      <c r="A222" s="6" t="n">
        <v>235</v>
      </c>
      <c r="B222" s="7" t="s">
        <v>435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152</v>
      </c>
      <c r="R222" s="7" t="s">
        <v>436</v>
      </c>
    </row>
    <row r="223" customFormat="false" ht="22.35" hidden="false" customHeight="false" outlineLevel="0" collapsed="false">
      <c r="A223" s="6" t="n">
        <v>236</v>
      </c>
      <c r="B223" s="7" t="s">
        <v>437</v>
      </c>
      <c r="C223" s="6" t="s">
        <v>22</v>
      </c>
      <c r="D223" s="6" t="n">
        <v>200</v>
      </c>
      <c r="E223" s="8" t="n">
        <v>2860</v>
      </c>
      <c r="F223" s="7" t="s">
        <v>438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439</v>
      </c>
      <c r="R223" s="7" t="s">
        <v>440</v>
      </c>
    </row>
    <row r="224" customFormat="false" ht="15" hidden="false" customHeight="false" outlineLevel="0" collapsed="false">
      <c r="A224" s="6" t="n">
        <v>237</v>
      </c>
      <c r="B224" s="7" t="s">
        <v>441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152</v>
      </c>
      <c r="R224" s="7" t="s">
        <v>31</v>
      </c>
    </row>
    <row r="225" customFormat="false" ht="15" hidden="false" customHeight="false" outlineLevel="0" collapsed="false">
      <c r="A225" s="6" t="n">
        <v>238</v>
      </c>
      <c r="B225" s="7" t="s">
        <v>442</v>
      </c>
      <c r="C225" s="6" t="s">
        <v>28</v>
      </c>
      <c r="D225" s="6" t="n">
        <v>6</v>
      </c>
      <c r="E225" s="8" t="n">
        <v>8450</v>
      </c>
      <c r="F225" s="7" t="s">
        <v>443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43</v>
      </c>
      <c r="Q225" s="7" t="s">
        <v>444</v>
      </c>
      <c r="R225" s="7"/>
    </row>
    <row r="226" customFormat="false" ht="22.35" hidden="false" customHeight="false" outlineLevel="0" collapsed="false">
      <c r="A226" s="6" t="n">
        <v>239</v>
      </c>
      <c r="B226" s="7" t="s">
        <v>445</v>
      </c>
      <c r="C226" s="6" t="s">
        <v>118</v>
      </c>
      <c r="D226" s="6" t="n">
        <v>50</v>
      </c>
      <c r="E226" s="8" t="n">
        <v>65000</v>
      </c>
      <c r="F226" s="7" t="s">
        <v>118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43</v>
      </c>
      <c r="Q226" s="7" t="s">
        <v>446</v>
      </c>
      <c r="R226" s="7"/>
    </row>
    <row r="227" customFormat="false" ht="22.35" hidden="false" customHeight="false" outlineLevel="0" collapsed="false">
      <c r="A227" s="6" t="n">
        <v>240</v>
      </c>
      <c r="B227" s="7" t="s">
        <v>447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900</v>
      </c>
      <c r="H227" s="9" t="n">
        <v>1300</v>
      </c>
      <c r="I227" s="10" t="n">
        <f aca="false">IF(E227=0,0,(E227-H227)/E227)</f>
        <v>-3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1500</v>
      </c>
      <c r="L227" s="8" t="n">
        <f aca="false">D227*E227</f>
        <v>16250</v>
      </c>
      <c r="M227" s="8" t="n">
        <f aca="false">D227*K227</f>
        <v>75000</v>
      </c>
      <c r="N227" s="8" t="n">
        <f aca="false">D227*H227</f>
        <v>65000</v>
      </c>
      <c r="O227" s="6" t="str">
        <f aca="false">IF(ISNUMBER(SEARCH(C227,F227)),"","YES")</f>
        <v>YES</v>
      </c>
      <c r="P227" s="6" t="s">
        <v>24</v>
      </c>
      <c r="Q227" s="7" t="s">
        <v>448</v>
      </c>
      <c r="R227" s="7" t="s">
        <v>449</v>
      </c>
    </row>
    <row r="228" customFormat="false" ht="15" hidden="false" customHeight="false" outlineLevel="0" collapsed="false">
      <c r="B228" s="3" t="s">
        <v>450</v>
      </c>
      <c r="L228" s="11" t="n">
        <f aca="false">SUM(L6:L227)</f>
        <v>12209508</v>
      </c>
      <c r="M228" s="11" t="n">
        <f aca="false">SUM(M6:M227)</f>
        <v>15544820</v>
      </c>
      <c r="N228" s="11" t="n">
        <f aca="false">SUM(N6:N227)</f>
        <v>12585567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451</v>
      </c>
    </row>
    <row r="3" customFormat="false" ht="15" hidden="false" customHeight="false" outlineLevel="0" collapsed="false">
      <c r="A3" s="13" t="s">
        <v>452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453</v>
      </c>
      <c r="B4" s="11" t="n">
        <f aca="false">COUNTIF('Rate Check'!J6:J227,"LOSS")</f>
        <v>85</v>
      </c>
    </row>
    <row r="5" customFormat="false" ht="15" hidden="false" customHeight="false" outlineLevel="0" collapsed="false">
      <c r="A5" s="13" t="s">
        <v>454</v>
      </c>
      <c r="B5" s="11" t="n">
        <f aca="false">COUNTIF('Rate Check'!J6:J227,"THIN / RISK")</f>
        <v>57</v>
      </c>
    </row>
    <row r="6" customFormat="false" ht="15" hidden="false" customHeight="false" outlineLevel="0" collapsed="false">
      <c r="A6" s="13" t="s">
        <v>455</v>
      </c>
      <c r="B6" s="11" t="n">
        <f aca="false">COUNTIF('Rate Check'!J6:J227,"OK")</f>
        <v>70</v>
      </c>
    </row>
    <row r="7" customFormat="false" ht="15" hidden="false" customHeight="false" outlineLevel="0" collapsed="false">
      <c r="A7" s="13" t="s">
        <v>456</v>
      </c>
      <c r="B7" s="11" t="n">
        <f aca="false">COUNTIF('Rate Check'!J6:J227,"OVERPRICED?")</f>
        <v>10</v>
      </c>
    </row>
    <row r="8" customFormat="false" ht="15" hidden="false" customHeight="false" outlineLevel="0" collapsed="false">
      <c r="A8" s="13" t="s">
        <v>457</v>
      </c>
      <c r="B8" s="11" t="n">
        <f aca="false">COUNTIF('Rate Check'!O6:O227,"YES")</f>
        <v>138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458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459</v>
      </c>
      <c r="B11" s="11" t="n">
        <f aca="false">'Rate Check'!N228</f>
        <v>12585567</v>
      </c>
    </row>
    <row r="12" customFormat="false" ht="15" hidden="false" customHeight="false" outlineLevel="0" collapsed="false">
      <c r="A12" s="13" t="s">
        <v>460</v>
      </c>
      <c r="B12" s="11" t="n">
        <f aca="false">B10-B11</f>
        <v>-376059</v>
      </c>
    </row>
    <row r="13" customFormat="false" ht="15" hidden="false" customHeight="false" outlineLevel="0" collapsed="false">
      <c r="A13" s="13" t="s">
        <v>461</v>
      </c>
      <c r="B13" s="14" t="n">
        <f aca="false">IF(B10=0,0,B12/B10)</f>
        <v>-0.0308005040006526</v>
      </c>
    </row>
    <row r="14" customFormat="false" ht="15" hidden="false" customHeight="false" outlineLevel="0" collapsed="false">
      <c r="A14" s="13" t="s">
        <v>462</v>
      </c>
      <c r="B14" s="11" t="n">
        <f aca="false">SUMPRODUCT(('Rate Check'!E6:E227&lt;'Rate Check'!H6:H227)*('Rate Check'!H6:H227-'Rate Check'!E6:E227)*'Rate Check'!D6:D227)</f>
        <v>2755490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463</v>
      </c>
      <c r="B16" s="11" t="n">
        <f aca="false">'Rate Check'!M228</f>
        <v>15544820</v>
      </c>
    </row>
    <row r="17" customFormat="false" ht="15" hidden="false" customHeight="false" outlineLevel="0" collapsed="false">
      <c r="A17" s="13" t="s">
        <v>464</v>
      </c>
      <c r="B17" s="14" t="n">
        <f aca="false">IF(B16=0,0,(B16-B11)/B16)</f>
        <v>0.190369074714278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465</v>
      </c>
      <c r="B19" s="11" t="n">
        <f aca="false">COUNTIF('Rate Check'!P6:P227,"V")</f>
        <v>50</v>
      </c>
    </row>
    <row r="20" customFormat="false" ht="15" hidden="false" customHeight="false" outlineLevel="0" collapsed="false">
      <c r="A20" s="13" t="s">
        <v>466</v>
      </c>
      <c r="B20" s="11" t="n">
        <f aca="false">COUNTIF('Rate Check'!P6:P227,"S")</f>
        <v>6</v>
      </c>
    </row>
    <row r="21" customFormat="false" ht="15" hidden="false" customHeight="false" outlineLevel="0" collapsed="false">
      <c r="A21" s="13" t="s">
        <v>467</v>
      </c>
      <c r="B21" s="11" t="n">
        <f aca="false">COUNTIF('Rate Check'!P6:P227,"N")</f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468</v>
      </c>
    </row>
    <row r="3" customFormat="false" ht="15" hidden="false" customHeight="false" outlineLevel="0" collapsed="false">
      <c r="A3" s="13" t="s">
        <v>469</v>
      </c>
      <c r="B3" s="15" t="s">
        <v>470</v>
      </c>
    </row>
    <row r="4" customFormat="false" ht="15" hidden="false" customHeight="false" outlineLevel="0" collapsed="false">
      <c r="A4" s="13" t="s">
        <v>471</v>
      </c>
      <c r="B4" s="15" t="s">
        <v>472</v>
      </c>
    </row>
    <row r="5" customFormat="false" ht="15" hidden="false" customHeight="false" outlineLevel="0" collapsed="false">
      <c r="A5" s="13" t="s">
        <v>473</v>
      </c>
      <c r="B5" s="15" t="s">
        <v>474</v>
      </c>
    </row>
    <row r="6" customFormat="false" ht="15" hidden="false" customHeight="false" outlineLevel="0" collapsed="false">
      <c r="A6" s="13" t="s">
        <v>475</v>
      </c>
      <c r="B6" s="15" t="s">
        <v>476</v>
      </c>
    </row>
    <row r="7" customFormat="false" ht="15" hidden="false" customHeight="false" outlineLevel="0" collapsed="false">
      <c r="A7" s="13" t="s">
        <v>477</v>
      </c>
      <c r="B7" s="15" t="s">
        <v>478</v>
      </c>
    </row>
    <row r="8" customFormat="false" ht="15" hidden="false" customHeight="false" outlineLevel="0" collapsed="false">
      <c r="A8" s="13" t="s">
        <v>479</v>
      </c>
      <c r="B8" s="15" t="s">
        <v>480</v>
      </c>
    </row>
    <row r="9" customFormat="false" ht="15" hidden="false" customHeight="false" outlineLevel="0" collapsed="false">
      <c r="A9" s="13" t="s">
        <v>481</v>
      </c>
      <c r="B9" s="15" t="s">
        <v>482</v>
      </c>
    </row>
    <row r="10" customFormat="false" ht="15" hidden="false" customHeight="false" outlineLevel="0" collapsed="false">
      <c r="A10" s="13" t="s">
        <v>483</v>
      </c>
      <c r="B10" s="15" t="s">
        <v>484</v>
      </c>
    </row>
    <row r="11" customFormat="false" ht="15" hidden="false" customHeight="false" outlineLevel="0" collapsed="false">
      <c r="A11" s="13" t="s">
        <v>485</v>
      </c>
      <c r="B11" s="15" t="s">
        <v>486</v>
      </c>
    </row>
    <row r="12" customFormat="false" ht="15" hidden="false" customHeight="false" outlineLevel="0" collapsed="false">
      <c r="A12" s="13" t="s">
        <v>487</v>
      </c>
      <c r="B12" s="15" t="s">
        <v>488</v>
      </c>
    </row>
    <row r="13" customFormat="false" ht="15" hidden="false" customHeight="false" outlineLevel="0" collapsed="false">
      <c r="A13" s="13" t="s">
        <v>489</v>
      </c>
      <c r="B13" s="15" t="s">
        <v>490</v>
      </c>
    </row>
    <row r="14" customFormat="false" ht="15" hidden="false" customHeight="false" outlineLevel="0" collapsed="false">
      <c r="A14" s="13" t="s">
        <v>491</v>
      </c>
      <c r="B14" s="15" t="s">
        <v>492</v>
      </c>
    </row>
    <row r="15" customFormat="false" ht="15" hidden="false" customHeight="false" outlineLevel="0" collapsed="false">
      <c r="A15" s="13" t="s">
        <v>493</v>
      </c>
      <c r="B15" s="15" t="s">
        <v>494</v>
      </c>
    </row>
    <row r="16" customFormat="false" ht="15" hidden="false" customHeight="false" outlineLevel="0" collapsed="false">
      <c r="A16" s="13" t="s">
        <v>495</v>
      </c>
      <c r="B16" s="15" t="s">
        <v>496</v>
      </c>
    </row>
    <row r="17" customFormat="false" ht="15" hidden="false" customHeight="false" outlineLevel="0" collapsed="false">
      <c r="A17" s="13" t="s">
        <v>497</v>
      </c>
      <c r="B17" s="15" t="s">
        <v>498</v>
      </c>
    </row>
    <row r="18" customFormat="false" ht="15" hidden="false" customHeight="false" outlineLevel="0" collapsed="false">
      <c r="A18" s="13" t="s">
        <v>499</v>
      </c>
      <c r="B18" s="15" t="s">
        <v>500</v>
      </c>
    </row>
    <row r="19" customFormat="false" ht="15" hidden="false" customHeight="false" outlineLevel="0" collapsed="false">
      <c r="A19" s="13" t="s">
        <v>501</v>
      </c>
      <c r="B19" s="15" t="s">
        <v>502</v>
      </c>
    </row>
    <row r="20" customFormat="false" ht="15" hidden="false" customHeight="false" outlineLevel="0" collapsed="false">
      <c r="A20" s="13" t="s">
        <v>503</v>
      </c>
      <c r="B20" s="15" t="s">
        <v>504</v>
      </c>
    </row>
    <row r="21" customFormat="false" ht="15" hidden="false" customHeight="false" outlineLevel="0" collapsed="false">
      <c r="A21" s="13" t="s">
        <v>505</v>
      </c>
      <c r="B21" s="15" t="s">
        <v>506</v>
      </c>
    </row>
    <row r="22" customFormat="false" ht="15" hidden="false" customHeight="false" outlineLevel="0" collapsed="false">
      <c r="A22" s="13" t="s">
        <v>507</v>
      </c>
      <c r="B22" s="15" t="s">
        <v>508</v>
      </c>
    </row>
    <row r="23" customFormat="false" ht="15" hidden="false" customHeight="false" outlineLevel="0" collapsed="false">
      <c r="A23" s="13" t="s">
        <v>509</v>
      </c>
      <c r="B23" s="15" t="s">
        <v>510</v>
      </c>
    </row>
    <row r="24" customFormat="false" ht="15" hidden="false" customHeight="false" outlineLevel="0" collapsed="false">
      <c r="A24" s="13" t="s">
        <v>511</v>
      </c>
      <c r="B24" s="15" t="s">
        <v>512</v>
      </c>
    </row>
    <row r="25" customFormat="false" ht="15" hidden="false" customHeight="false" outlineLevel="0" collapsed="false">
      <c r="A25" s="13" t="s">
        <v>513</v>
      </c>
      <c r="B25" s="15" t="s">
        <v>514</v>
      </c>
    </row>
    <row r="26" customFormat="false" ht="15" hidden="false" customHeight="false" outlineLevel="0" collapsed="false">
      <c r="A26" s="13" t="s">
        <v>515</v>
      </c>
      <c r="B26" s="15" t="s">
        <v>516</v>
      </c>
    </row>
    <row r="27" customFormat="false" ht="15" hidden="false" customHeight="false" outlineLevel="0" collapsed="false">
      <c r="A27" s="13" t="s">
        <v>517</v>
      </c>
      <c r="B27" s="15" t="s">
        <v>518</v>
      </c>
    </row>
    <row r="28" customFormat="false" ht="15" hidden="false" customHeight="false" outlineLevel="0" collapsed="false">
      <c r="A28" s="13" t="s">
        <v>519</v>
      </c>
      <c r="B28" s="15" t="s">
        <v>520</v>
      </c>
    </row>
    <row r="29" customFormat="false" ht="15" hidden="false" customHeight="false" outlineLevel="0" collapsed="false">
      <c r="A29" s="13" t="s">
        <v>521</v>
      </c>
      <c r="B29" s="15" t="s">
        <v>522</v>
      </c>
    </row>
    <row r="30" customFormat="false" ht="15" hidden="false" customHeight="false" outlineLevel="0" collapsed="false">
      <c r="A30" s="13" t="s">
        <v>523</v>
      </c>
      <c r="B30" s="15" t="s">
        <v>524</v>
      </c>
    </row>
    <row r="31" customFormat="false" ht="15" hidden="false" customHeight="false" outlineLevel="0" collapsed="false">
      <c r="A31" s="13" t="s">
        <v>525</v>
      </c>
      <c r="B31" s="15" t="s">
        <v>526</v>
      </c>
    </row>
    <row r="32" customFormat="false" ht="15" hidden="false" customHeight="false" outlineLevel="0" collapsed="false">
      <c r="A32" s="13" t="s">
        <v>527</v>
      </c>
      <c r="B32" s="15" t="s">
        <v>528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2026-10-09T15:31:58Z</dcterms:created>
  <dc:creator>openpyxl</dc:creator>
  <dc:description/>
  <dc:language>en-US</dc:language>
  <cp:lastModifiedBy/>
  <dcterms:modified xsi:type="dcterms:W3CDTF">2026-10-09T15:31:58Z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