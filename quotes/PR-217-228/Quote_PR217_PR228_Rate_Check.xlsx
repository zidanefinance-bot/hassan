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<sst xmlns="http://schemas.openxmlformats.org/spreadsheetml/2006/main" count="1290" uniqueCount="573">
  <si>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</si>
  <si>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</si>
  <si>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</si>
  <si>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</si>
  <si>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</si>
  <si>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</si>
  <si>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</si>
  <si>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</si>
  <si>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</si>
  <si>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</si>
  <si>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</si>
  <si>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</si>
  <si>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</si>
  <si>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</si>
  <si>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</si>
  <si>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</si>
  <si>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</si>
  <si>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</si>
  <si>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</si>
  <si>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</si>
  <si>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</si>
  <si>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</si>
  <si>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</si>
  <si>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Rhodius</t>
  </si>
  <si>
    <t xml:space="preserve">S</t>
  </si>
  <si>
    <t xml:space="preserve">nasirnsons.com Rhodius 4in cutting disc Rs 280; toolshub Permanent 4in 120</t>
  </si>
  <si>
    <t xml:space="preserve">Spec/pack/stock farq - source dekho</t>
  </si>
  <si>
    <t xml:space="preserve">STEEL NAIL 1-1/2" Taiwan</t>
  </si>
  <si>
    <t xml:space="preserve">Licota</t>
  </si>
  <si>
    <t xml:space="preserve">Generic</t>
  </si>
  <si>
    <t xml:space="preserve">shop.misar.ae TITAN steel nail 1-1/2in AED 85 / 25kg ctn (=3.40/kg) -&gt; PKR 306 (x90/AED)</t>
  </si>
  <si>
    <t xml:space="preserve">MECHANICAL JACK 5 TON (Japan or Germany)</t>
  </si>
  <si>
    <t xml:space="preserve">JET (Taiwan)</t>
  </si>
  <si>
    <t xml:space="preserve">V</t>
  </si>
  <si>
    <t xml:space="preserve">amazon.ae JET SJ-5T 5-ton screw jack AED 666.50 (mrouae.com 5T AED 550) -&gt; PKR 59,985 (x90/AED)</t>
  </si>
  <si>
    <t xml:space="preserve">DRILL BIT 08 MM (Yato or any Good brand taiwan)</t>
  </si>
  <si>
    <t xml:space="preserve">Dormer</t>
  </si>
  <si>
    <t xml:space="preserve">finetoolsuae.com Dormer drill bit 8.0mm A100-8 AED 16.1 -&gt; PKR 1,449 (x90/AED)</t>
  </si>
  <si>
    <t xml:space="preserve">MECHANICAL JACK 03 TONS (Japan or germany)</t>
  </si>
  <si>
    <t xml:space="preserve">Taiwan</t>
  </si>
  <si>
    <t xml:space="preserve">mrouae.com mechanical jack 3 ton AED 440 -&gt; PKR 39,600 (x90/AED)</t>
  </si>
  <si>
    <t xml:space="preserve">SAFETY HELMET (WHITE)</t>
  </si>
  <si>
    <t xml:space="preserve">Total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</si>
  <si>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</si>
  <si>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</si>
  <si>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</si>
  <si>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</si>
  <si>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</si>
  <si>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</si>
  <si>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Selling rate fixed by Hassan at 270,000. </t>
  </si>
  <si>
    <t xml:space="preserve">DOUBLE OPEN RING OFFSET WRENCH SET (12PCS)</t>
  </si>
  <si>
    <t xml:space="preserve">toolsmart.pk Licota offset ring singles 8x10 1,230 / 14x15 2,060 / 24x26 3,420 / 30x32 4,240 -&gt; 12pc 6-32 sum ~29,600</t>
  </si>
  <si>
    <t xml:space="preserve">DOUBLE OPEN END WRENCH 6 TO 32 (12 PCS SET)</t>
  </si>
  <si>
    <t xml:space="preserve">Harden</t>
  </si>
  <si>
    <t xml:space="preserve">toolsmart.pk Harden double open-end spanner 6-32mm 12pc Rs 12,630 (alt Ingco HKSPA2142 ingcotool 9,899)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</si>
  <si>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</si>
  <si>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</si>
  <si>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</si>
  <si>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</si>
  <si>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</si>
  <si>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Tolsen</t>
  </si>
  <si>
    <t xml:space="preserve">imsons.com.pk Tolsen 15889 combination spanner 6-32mm 14pc Rs 11,780; toolexpert.pk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</si>
  <si>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</si>
  <si>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</si>
  <si>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</si>
  <si>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</si>
  <si>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</si>
  <si>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Harden 12pc hollow punch 3-16mm 610848: toolsmart 4,140; ingcotool 4,199-4,699; toolshop 4,399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</si>
  <si>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</si>
  <si>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</si>
  <si>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</si>
  <si>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</si>
  <si>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</si>
  <si>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</si>
  <si>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</si>
  <si>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short hex key 12mm HW100120SM AED 250 / 20pc = 12.5 ea -&gt; PKR 1,125 (x90/AED)</t>
  </si>
  <si>
    <t xml:space="preserve">ALLEN (HEX) KEY 14MM</t>
  </si>
  <si>
    <t xml:space="preserve">Yato</t>
  </si>
  <si>
    <t xml:space="preserve">inserv.lv Yato long hex key 14mm YT-05444 EUR 4.80 -&gt; PKR 1,845 (fx x shelf basis)</t>
  </si>
  <si>
    <t xml:space="preserve">ALLEN (HEX) KEY 16MM</t>
  </si>
  <si>
    <t xml:space="preserve">inserv.lv Yato long hex key 14mm YT-05444 EUR 4.80 (16mm listed nahi - 14mm rate) -&gt; PKR 1,845 (fx x shelf basis)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</si>
  <si>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</si>
  <si>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</si>
  <si>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</si>
  <si>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</si>
  <si>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</si>
  <si>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</si>
  <si>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mecatechnic.com circlip plier straight internal 300mm EUR 16.57 (230mm listed nahi) -&gt; PKR 6,368 (fx x shelf basis)</t>
  </si>
  <si>
    <t xml:space="preserve">CIRCLIP PLIER EXTERNAL STRAIGHT 230MM</t>
  </si>
  <si>
    <t xml:space="preserve">inserv.lv Yato circlip plier external 300mm YT-19973 EUR 13.00 (230mm listed nahi) -&gt; PKR 4,996 (fx x shelf basis)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</si>
  <si>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</si>
  <si>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</si>
  <si>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</si>
  <si>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Total pipe wrench 10in Rs 1,700; totaltool.pk 1,400</t>
  </si>
  <si>
    <t xml:space="preserve">PIPE WRENCH SIZE 12"</t>
  </si>
  <si>
    <t xml:space="preserve">toolsmart.pk Harden heavy duty pipe wrench 12in Rs 2,850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</si>
  <si>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</si>
  <si>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</si>
  <si>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</si>
  <si>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toolsmart.pk Harden pipe wrench 24in Rs 6,560</t>
  </si>
  <si>
    <t xml:space="preserve">PIPE WRENCH SIZE 36"</t>
  </si>
  <si>
    <t xml:space="preserve">totaltool.pk Total pipe wrench 36in THT171366 Rs 7,900 (alt Wiseup toolshub 6,300)</t>
  </si>
  <si>
    <t xml:space="preserve">SLEDGE HAMMER 1 LBS WITH FIBREGLASS HANDLE</t>
  </si>
  <si>
    <t xml:space="preserve">toolsmart.pk Total sledge 2lb THT79026 Rs 2,000; purchaser 1,820 (1lb nahi mila)</t>
  </si>
  <si>
    <t xml:space="preserve">SLEDGE HAMMER 3 LBS WITH FIBREGLASS HANDLE</t>
  </si>
  <si>
    <t xml:space="preserve">toolsmart.pk Harden 3lb sledge fibreglass 590323 Rs 3,380</t>
  </si>
  <si>
    <t xml:space="preserve">SOFT FACE DEAD BLOW HAMMER 50MM</t>
  </si>
  <si>
    <t xml:space="preserve">pakistanpowertools.com Harden dead blow mallet 590445 Rs 1,987-2,450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</si>
  <si>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</si>
  <si>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</si>
  <si>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</si>
  <si>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</si>
  <si>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</si>
  <si>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</si>
  <si>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alrahat.com Bosch GDS 18V-350 set (2x4Ah + charger) AED 1,270.50 incl VAT -&gt; PKR 114,345 (x90/AED)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</si>
  <si>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</si>
  <si>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</si>
  <si>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</si>
  <si>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DeWalt</t>
  </si>
  <si>
    <t xml:space="preserve">uk.rubix.com DeWalt DT7508 1/2in sq female to 1/4in hex female impact adaptor GBP 14.23 incl VAT -&gt; PKR 5,955 (fx x shelf basis)</t>
  </si>
  <si>
    <t xml:space="preserve">FLAT FILE 12"</t>
  </si>
  <si>
    <t xml:space="preserve">zeeshanhardware Yato YT-6190 12in 1,750</t>
  </si>
  <si>
    <t xml:space="preserve">ROUNDE FILE 12"</t>
  </si>
  <si>
    <t xml:space="preserve">inserv.lv Yato round file 300mm YT-6194 EUR 5.10 -&gt; PKR 1,960 (fx x shelf basis)</t>
  </si>
  <si>
    <t xml:space="preserve">UNIVERSAL PULLER 2-ARMED WITH HOOK BRAKE 21</t>
  </si>
  <si>
    <t xml:space="preserve">speedextools.com Yato 2-arm puller 8in AED 69.50 (hook brake type confirm) -&gt; PKR 6,255 (AED x90 basis)</t>
  </si>
  <si>
    <t xml:space="preserve">UNIVERSAL PULLER 2-ARMED WITH HOOK BRAK 250</t>
  </si>
  <si>
    <t xml:space="preserve">amazon.ae Reywoo 2-jaw gear puller 10in (250mm) AED 218.73 -&gt; PKR 19,686 (AED x90 basis)</t>
  </si>
  <si>
    <t xml:space="preserve">UNIVERSAL PULLER 2-ARMED 160 X 300 MM 5T</t>
  </si>
  <si>
    <t xml:space="preserve">amazon.ae Reywoo 2-jaw puller 10in AED 218.73 (160x300 5T exact nahi) -&gt; PKR 19,686 (AED x90 basis)</t>
  </si>
  <si>
    <t xml:space="preserve">UNIVERSAL PULLER 2-ARMED 250 X 300 MM 7.5T</t>
  </si>
  <si>
    <t xml:space="preserve">amazon.ae RATSTONE 2-jaw puller 10in (250mm) AED 344.66 (7.5T exact nahi) -&gt; PKR 31,019 (AED x90 basis)</t>
  </si>
  <si>
    <t xml:space="preserve">INTERNAL EXTRACTOR WITH REINFORCED COLLAR</t>
  </si>
  <si>
    <t xml:space="preserve">goldentools.ae Licota pilot bearing puller ATB-1131 AED 126 (internal type) -&gt; PKR 11,340 (x90/AED)</t>
  </si>
  <si>
    <t xml:space="preserve">MECHANICAL PULLER 3 ARMED 200X200</t>
  </si>
  <si>
    <t xml:space="preserve">zeeshanhardware.pk Yato YT-2522 bearing puller 8in Rs 8,500</t>
  </si>
  <si>
    <t xml:space="preserve">MECHANICAL PULLER 3 ARMED 250X250</t>
  </si>
  <si>
    <t xml:space="preserve">imartpk.com Yato 3 arms jaw puller 12in Rs 19,030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</si>
  <si>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</si>
  <si>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</si>
  <si>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</si>
  <si>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aajjo.com ATS ELGI 5kg manual grease bucket pump INR 20,000 (Groz 12L INR 25,000) -&gt; PKR 67,000 (fx x shelf basis)</t>
  </si>
  <si>
    <t xml:space="preserve">AIR GREASE GUN 500CC</t>
  </si>
  <si>
    <t xml:space="preserve">diy.com Yato pneumatic air grease gun 400cc YT-07055 GBP 49.99 (500cc air listed nahi) -&gt; PKR 20,921 (fx x shelf basis)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</si>
  <si>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</si>
  <si>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</si>
  <si>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</si>
  <si>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tooled-up.com Sealey grease gun flexible hose 300mm GBP 10.95 (1/8 BSP; 1/4 listed nahi) -&gt; PKR 4,583 (fx x shelf basis)</t>
  </si>
  <si>
    <t xml:space="preserve">DOUBLE HANDLE GREASE NOZZLE</t>
  </si>
  <si>
    <t xml:space="preserve">amazon COMVIEE double handle quick lock grease coupler USD 12.99 -&gt; PKR 4,294 (fx x shelf basis)</t>
  </si>
  <si>
    <t xml:space="preserve">STEEL MEASURMENT TAPE 100M</t>
  </si>
  <si>
    <t xml:space="preserve">toolsmart.pk Total fibreglass tape 100m TMTF131006 Rs 5,250 (steel 100m nahi mila)</t>
  </si>
  <si>
    <t xml:space="preserve">STEEL MEASURMENT TAPE 50M</t>
  </si>
  <si>
    <t xml:space="preserve">Ingco</t>
  </si>
  <si>
    <t xml:space="preserve">toolsmart.pk Ingco 50m steel tape HSMT8550 Rs 5,920 (alt Total TMT710506 4,750)</t>
  </si>
  <si>
    <t xml:space="preserve">ALIGNING PRY BAR DIA 5/8" X 18" LENGTH</t>
  </si>
  <si>
    <t xml:space="preserve">toolshop.pk Ingco crow wrecking bar HWBA01242 (24in) Rs 3,499 (18in nahi)</t>
  </si>
  <si>
    <t xml:space="preserve">ADJUSTABLE WRENCH 15"</t>
  </si>
  <si>
    <t xml:space="preserve">toolsmart.pk Ingco 15in adjustable HADW131152 Rs 4,630 (alt Total 3,890)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</si>
  <si>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</si>
  <si>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</si>
  <si>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</si>
  <si>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</si>
  <si>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amazon.ae MT3 live revolving center AED 194.38 (MT4 listed nahi) -&gt; PKR 17,494 (x90/AED)</t>
  </si>
  <si>
    <t xml:space="preserve">REVOLVING CENTRE MT3</t>
  </si>
  <si>
    <t xml:space="preserve">amazon.ae MT3 live revolving center AED 194.38 -&gt; PKR 17,494 (x90/AED)</t>
  </si>
  <si>
    <t xml:space="preserve">CIRCUMFERENCE TAPE (60-950) (D20-300)</t>
  </si>
  <si>
    <t xml:space="preserve">Insize</t>
  </si>
  <si>
    <t xml:space="preserve">wallersindustrialonline Insize 7114-950 circumference tape 60-950 USD 48.88 -&gt; PKR 16,156 (x90/AED)</t>
  </si>
  <si>
    <t xml:space="preserve">CIRCUMFERENCE TAPE (940-2200) (D300-700)</t>
  </si>
  <si>
    <t xml:space="preserve">wallersindustrialonline Insize 7114-2200 940-2200 USD 34.65 -&gt; PKR 11,453 (x90/AED)</t>
  </si>
  <si>
    <t xml:space="preserve">MEASURING TAPE 5M</t>
  </si>
  <si>
    <t xml:space="preserve">toolsmart.pk Total steel tape 5m TMT126251 Rs 1,000; totaltool.pk 700-770</t>
  </si>
  <si>
    <t xml:space="preserve">HSS COBALT DRILL SET 1-13MM 25 PCS</t>
  </si>
  <si>
    <t xml:space="preserve">pakistanpowertools.com Ingco AKD1251 25pc 1-13mm Rs 22,185; almirajtrading 15,968 (M2 HSS)</t>
  </si>
  <si>
    <t xml:space="preserve">HSS DRILL BITS 1/16-1/2" 29 PCS SET</t>
  </si>
  <si>
    <t xml:space="preserve">rapidonline.com Dormer A09518 29pc HSS-TiN 1/16-1/2 set GBP 140.75 ex VAT (168.90 incl) -&gt; PKR 70,685 (fx x shelf basis)</t>
  </si>
  <si>
    <t xml:space="preserve">HSS DRILL BIT 14MM TAPER SHANK</t>
  </si>
  <si>
    <t xml:space="preserve">Dormer A130</t>
  </si>
  <si>
    <t xml:space="preserve">finetoolsuae.com Dormer taper shank 14mm AED 78 -&gt; PKR 7,020 (x90/AED)</t>
  </si>
  <si>
    <t xml:space="preserve">HSS DRILL BIT 15MM TAPER SHANK</t>
  </si>
  <si>
    <t xml:space="preserve">amazon.ae Dormer A130 15mm AED 107 -&gt; PKR 9,630 (x90/AED)</t>
  </si>
  <si>
    <t xml:space="preserve">HSS DRILL BIT 15.5MM TAPER SHANK</t>
  </si>
  <si>
    <t xml:space="preserve">amazon.ae Dormer A130 15mm AED 107 (15.5mm listed nahi) -&gt; PKR 9,630 (x90/AED)</t>
  </si>
  <si>
    <t xml:space="preserve">HSS DRILL BIT 16MM TAPER SHANK</t>
  </si>
  <si>
    <t xml:space="preserve">finetoolsuae.com Dormer taper shank 16mm AED 88 (amazon.ae 95) -&gt; PKR 7,920 (x90/AED)</t>
  </si>
  <si>
    <t xml:space="preserve">HSS DRILL BIT 16.5MM TAPER SHANK</t>
  </si>
  <si>
    <t xml:space="preserve">finetoolsuae.com Dormer taper shank 17.5mm AED 125 (16.5mm listed nahi) -&gt; PKR 11,250 (x90/AED)</t>
  </si>
  <si>
    <t xml:space="preserve">HSS DRILL BIT 17MM TAPER SHANK</t>
  </si>
  <si>
    <t xml:space="preserve">finetoolsuae.com Dormer taper shank 17mm AED 140 -&gt; PKR 12,600 (x90/AED)</t>
  </si>
  <si>
    <t xml:space="preserve">HSS DRILL BIT 17.5MM TAPER SHANK</t>
  </si>
  <si>
    <t xml:space="preserve">finetoolsuae.com Dormer taper shank 17.5mm AED 125 -&gt; PKR 11,250 (x90/AED)</t>
  </si>
  <si>
    <t xml:space="preserve">HSS DRILL BIT 19MM TAPER SHANK</t>
  </si>
  <si>
    <t xml:space="preserve">amazon.ae Dormer A130 19mm AED 136 -&gt; PKR 12,240 (x90/AED)</t>
  </si>
  <si>
    <t xml:space="preserve">HSS DRILL BIT 21MM TAPER SHANK</t>
  </si>
  <si>
    <t xml:space="preserve">amazon.ae Dormer A130 22mm AED 150 (21mm listed nahi) -&gt; PKR 13,500 (x90/AED)</t>
  </si>
  <si>
    <t xml:space="preserve">HSS DRILL BIT 25MM TAPER SHANK</t>
  </si>
  <si>
    <t xml:space="preserve">finetoolsuae.com Dormer taper shank 25mm AED 225 (amazon.ae 195) -&gt; PKR 20,250 (x90/AED)</t>
  </si>
  <si>
    <t xml:space="preserve">HSS DRILL BIT 30MM TAPER SHANK</t>
  </si>
  <si>
    <t xml:space="preserve">finetoolsuae.com Dormer taper shank 32mm AED 440.45 (30mm nahi; amazon.ae 29.5mm AED 405) -&gt; PKR 39,640 (x90/AED)</t>
  </si>
  <si>
    <t xml:space="preserve">HSS DRILL BIT 32MM TAPER SHANK</t>
  </si>
  <si>
    <t xml:space="preserve">finetoolsuae.com Dormer taper shank 32mm AED 440.45 -&gt; PKR 39,640 (x90/AED)</t>
  </si>
  <si>
    <t xml:space="preserve">HSS DRILL BIT 35MM TAPER SHANK</t>
  </si>
  <si>
    <t xml:space="preserve">finetoolsuae.com Dormer taper shank 34mm AED 450 (35mm listed nahi) -&gt; PKR 40,500 (x90/AED)</t>
  </si>
  <si>
    <t xml:space="preserve">MORSE TAPER EXTENSION SOCKET SLEEVE ADAPT</t>
  </si>
  <si>
    <t xml:space="preserve">grizzly.com Morse taper sleeve MT3/MT2 USD 9.95 -&gt; PKR 3,289 (x90/AED)</t>
  </si>
  <si>
    <t xml:space="preserve">mscdirect.com Jacobs sleeve MT3/MT4 USD 44.95 -&gt; PKR 14,857 (x90/AED)</t>
  </si>
  <si>
    <t xml:space="preserve">ebay MT4-MT3 adapter USD 45.95 -&gt; PKR 15,188 (x90/AED)</t>
  </si>
  <si>
    <t xml:space="preserve">DEAD CENTRE DIAMOND TIP M2</t>
  </si>
  <si>
    <t xml:space="preserve">ebay carbide dead center MT3 USD 18.95 (MT2 same class) -&gt; PKR 6,263 (x90/AED)</t>
  </si>
  <si>
    <t xml:space="preserve">DEAD CENTRE DIAMOND TIP M3</t>
  </si>
  <si>
    <t xml:space="preserve">ebay carbide dead center MT3 USD 18.95 -&gt; PKR 6,263 (x90/AED)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</si>
  <si>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</si>
  <si>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</si>
  <si>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</si>
  <si>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</si>
  <si>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</si>
  <si>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</si>
  <si>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</si>
  <si>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higherprecision.com Insize 1247-200 depth gauge USD 84.47 (250mm listed nahi) -&gt; PKR 27,919 (x90/AED)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</si>
  <si>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</si>
  <si>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</si>
  <si>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</si>
  <si>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cromwell.co.uk Dormer E547 1/2in BSPF tap set (2pc) GBP 95.99 incl VAT - RH rate, LH listed nahi -&gt; PKR 40,172 (fx x shelf basis)</t>
  </si>
  <si>
    <t xml:space="preserve">TAP SET 1/2" BSPF RIGHT HAND</t>
  </si>
  <si>
    <t xml:space="preserve">cromwell.co.uk Dormer E547 1/2in BSPF tap set (2pc) GBP 95.99 incl VAT -&gt; PKR 40,172 (fx x shelf basis)</t>
  </si>
  <si>
    <t xml:space="preserve">TAP SET 3/8" BSPF</t>
  </si>
  <si>
    <t xml:space="preserve">finetoolsuae.com Dormer tap set 3/8in AED 241.5 (BSP likhaa nahi) -&gt; PKR 21,735 (x90/AED)</t>
  </si>
  <si>
    <t xml:space="preserve">TAP SET 1/4" BSPF</t>
  </si>
  <si>
    <t xml:space="preserve">mscdirect.co.uk Dormer 1/4x19 BSP hand tap set of 2 E547 GBP 48.22 incl VAT -&gt; PKR 20,180 (AED x90 basis)</t>
  </si>
  <si>
    <t xml:space="preserve">TAP SET 1/8" BSPF</t>
  </si>
  <si>
    <t xml:space="preserve">finetoolsuae.com Dormer tap set 1/8in BSP AED 181.7 -&gt; PKR 16,353 (x90/AED)</t>
  </si>
  <si>
    <t xml:space="preserve">WIRE BRUSH HEAVY DUTY 4/5 NROW</t>
  </si>
  <si>
    <t xml:space="preserve">toolsmart.pk Harden steel brush wood handle 4 row Rs 540; pakistanpowertools 325-510</t>
  </si>
  <si>
    <t xml:space="preserve">WELDING HELMET (FLIP FRONT)</t>
  </si>
  <si>
    <t xml:space="preserve">US listing flip front welding helmet USD 18.99 -&gt; PKR 6,277 (x90/AED)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</si>
  <si>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</si>
  <si>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</si>
  <si>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</si>
  <si>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</si>
  <si>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toolsmart.pk Total G clamp 6in THT13161 Rs 2,420</t>
  </si>
  <si>
    <t xml:space="preserve">C-CLAMP 12"</t>
  </si>
  <si>
    <t xml:space="preserve">inserv.lv Yato G-clamp 12in (300mm) YT-64258 EUR 13.60 -&gt; PKR 5,226 (fx x shelf basis)</t>
  </si>
  <si>
    <t xml:space="preserve">SPIRIT LEVEL 1 METER</t>
  </si>
  <si>
    <t xml:space="preserve">Total spirit level 100cm TMT210026: powerhouseexpress 2,808-3,350; totaltool 2,600 (Yato 600mm amjadhardware 2,800)</t>
  </si>
  <si>
    <t xml:space="preserve">MAGNET SPIRIT LEVEL 12"</t>
  </si>
  <si>
    <t xml:space="preserve">inserv.lv Yato magnetic spirit level 300mm YT-30310 EUR 9.50 -&gt; PKR 3,651 (fx x shelf basis)</t>
  </si>
  <si>
    <t xml:space="preserve">CARBON STEEL RIGHT ANGLE 150MM</t>
  </si>
  <si>
    <t xml:space="preserve">zoro.com Insize 4707-150 machinist square 150mm USD 46.59 -&gt; PKR 15,399 (x90/AED)</t>
  </si>
  <si>
    <t xml:space="preserve">CARBON STEEL RIGHT ANGLE 300MM</t>
  </si>
  <si>
    <t xml:space="preserve">ezmakaan.com Harden aluminium try square 300mm 580713 Rs 3,125</t>
  </si>
  <si>
    <t xml:space="preserve">GAS CUTTING TORCH MEDIUM 6-50MM</t>
  </si>
  <si>
    <t xml:space="preserve">aliweldinghouse.pk 100B gas cutting torch with connectors Rs 8,500 (388 torch 6,500-7,000)</t>
  </si>
  <si>
    <t xml:space="preserve">CUTTING TIPS/NOZZLES NO. 02 (6MM-12MM)</t>
  </si>
  <si>
    <t xml:space="preserve">aliweldinghouse.pk GK cutting nozzle Rs 1,600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</si>
  <si>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</si>
  <si>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</si>
  <si>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</si>
  <si>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</si>
  <si>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</si>
  <si>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noon.com acetylene regulator AED 135 incl VAT -&gt; PKR 12,150 (x90/AED)</t>
  </si>
  <si>
    <t xml:space="preserve">OXYGEN HOSE 08MM ID</t>
  </si>
  <si>
    <t xml:space="preserve">birigroup.ae twin hose blue/red 25m AED 59.99 (=2.40/m, 1/4in) -&gt; PKR 216 (x90/AED)</t>
  </si>
  <si>
    <t xml:space="preserve">ACETYLENE GAS HOSE 08 ID</t>
  </si>
  <si>
    <t xml:space="preserve">CYLINDER KEY/SPANNER</t>
  </si>
  <si>
    <t xml:space="preserve">Draper</t>
  </si>
  <si>
    <t xml:space="preserve">airconspares.com Draper 35109 gas cylinder key spanner GBP 5.36 incl VAT -&gt; PKR 2,243 (fx x shelf basis)</t>
  </si>
  <si>
    <t xml:space="preserve">TIP CLEANER FOR GAS WELDING TORCH</t>
  </si>
  <si>
    <t xml:space="preserve">finetoolsuae.com tip cleaner long 10cm AED 5.5 -&gt; PKR 495 (x90/AED)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</si>
  <si>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</si>
  <si>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</si>
  <si>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</si>
  <si>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WACTA20</t>
  </si>
  <si>
    <t xml:space="preserve">houseoftools.com.pk Inverter AC/DC TIG/MMA WACTA20 Rs 126,000 (TIG 5-200A, MMA 20-180A, 220V)</t>
  </si>
  <si>
    <t xml:space="preserve">TIG WELDING TORCH AIR-COOLED 5METER</t>
  </si>
  <si>
    <t xml:space="preserve">amazon.ae TywelMaster WP26V TIG torch 4m air cooled AED 278.36 (5m listed nahi) -&gt; PKR 25,052 (x90/AED)</t>
  </si>
  <si>
    <t xml:space="preserve">TORCH HEAD ARGON WELDING</t>
  </si>
  <si>
    <t xml:space="preserve">ebay WP-26 TIG torch head body USD 21.00 (Weldcraft OEM USD 87.30) -&gt; PKR 6,941 (fx x shelf basis)</t>
  </si>
  <si>
    <t xml:space="preserve">COLLECT OF ARGON 2.4MM</t>
  </si>
  <si>
    <t xml:space="preserve">weldingdirect.com Weldcraft 10N24 collet 2.4mm 5pk USD 12.50 (=2.50 ea) -&gt; PKR 826 (x90/AED)</t>
  </si>
  <si>
    <t xml:space="preserve">COLLECT BODY FOR ARGON 2.4MM</t>
  </si>
  <si>
    <t xml:space="preserve">harrisweldingsupplies.com Profax 10N32 collet body 5pk USD 11.60 (=2.32 ea) -&gt; PKR 767 (x90/AED)</t>
  </si>
  <si>
    <t xml:space="preserve">CERAMIC CUP NO.5</t>
  </si>
  <si>
    <t xml:space="preserve">walmart.com WeldingCity 10N49 ceramic cup #5 10pk USD 11.99 (=1.20 ea) -&gt; PKR 397 (x90/AED)</t>
  </si>
  <si>
    <t xml:space="preserve">CERAMIC CUP NO.6</t>
  </si>
  <si>
    <t xml:space="preserve">WeldingCity 10N series ceramic cup 10pk USD 11.99 (#6 same series) -&gt; PKR 397 (x90/AED)</t>
  </si>
  <si>
    <t xml:space="preserve">CERAMIC CUP NO.7</t>
  </si>
  <si>
    <t xml:space="preserve">WeldingCity 10N series ceramic cup 10pk USD 11.99 (#7 same series) -&gt; PKR 397 (x90/AED)</t>
  </si>
  <si>
    <t xml:space="preserve">TUNGSTEN ELECTRODE 2.4MM</t>
  </si>
  <si>
    <t xml:space="preserve">amazon.com thoriated tungsten 2.4mm x 175mm 10pk USD 19.73 -&gt; PKR 6,521 (x90/AED)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</si>
  <si>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</si>
  <si>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</si>
  <si>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</si>
  <si>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</si>
  <si>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birigroup.ae twin hose 25m AED 59.99 (=2.40/m) (argon hose same class) -&gt; PKR 216 (x90/AED)</t>
  </si>
  <si>
    <t xml:space="preserve">GAS HOSE CONNECTOR</t>
  </si>
  <si>
    <t xml:space="preserve">finetoolsuae.com acetylene nut thread 3/8in for 8mm hose AED 3.75 -&gt; PKR 338 (x90/AED)</t>
  </si>
  <si>
    <t xml:space="preserve">SHORT SLEEVE TIG WELDING GLOVES 10-INCH</t>
  </si>
  <si>
    <t xml:space="preserve">fepy.com QOP TIG welding gloves 12 pairs AED 150 (=12.5/pair) -&gt; PKR 1,125 (x90/AED)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</si>
  <si>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</si>
  <si>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</si>
  <si>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</si>
  <si>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</si>
  <si>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</si>
  <si>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</si>
  <si>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</si>
  <si>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toya24.pl polishing felt disc 125mm PLN 8.97 incl VAT -&gt; PKR 812 (fx x shelf basis)</t>
  </si>
  <si>
    <t xml:space="preserve">BRASS PLATED CUP WIRE BRUSH 125MM</t>
  </si>
  <si>
    <t xml:space="preserve">ebay 125mm brass plated wire brush wheel USD 17.03 -&gt; PKR 5,629 (x90/AED)</t>
  </si>
  <si>
    <t xml:space="preserve">GRINDER WHEEL ALUMINIUM OXIDE GRIT 24</t>
  </si>
  <si>
    <t xml:space="preserve">moglix.ae Gazelle 200mm aluminium oxide grinding wheel 36G AED 52 (grit 24 listed nahi) -&gt; PKR 4,680 (x90/AED)</t>
  </si>
  <si>
    <t xml:space="preserve">GRINDER WHEEL ALUMINIUM OXIDE GRIT 60</t>
  </si>
  <si>
    <t xml:space="preserve">moglix.ae Gazelle 200mm aluminium oxide grinding wheel 46G AED 52 (grit 60 listed nahi) -&gt; PKR 4,680 (x90/AED)</t>
  </si>
  <si>
    <t xml:space="preserve">GRINDER WHEEL SILICON CARBIDE</t>
  </si>
  <si>
    <t xml:space="preserve">cutwel.co.uk 200mm green silicon carbide grinding wheel GBP 49.86 -&gt; PKR 20,866 (x90/AED)</t>
  </si>
  <si>
    <t xml:space="preserve">COTTON ROPE 2MM</t>
  </si>
  <si>
    <t xml:space="preserve">walmart.com cotton rope 2mm x 91.5m USD 3.97 (=USD 0.043/m) -&gt; PKR 14 (fx x shelf basis)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</si>
  <si>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</si>
  <si>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</si>
  <si>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</si>
  <si>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</si>
  <si>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</si>
  <si>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</si>
  <si>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imsons.com.pk Tolsen 50mm wall scraper Rs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</si>
  <si>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</si>
  <si>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</si>
  <si>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</si>
  <si>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</si>
  <si>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</si>
  <si>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</si>
  <si>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</si>
  <si>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</si>
  <si>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</si>
  <si>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</si>
  <si>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</si>
  <si>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</si>
  <si>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busydubai.com mineral powder red oxide AED 113 (pack size n/a) -&gt; PKR 10,170 (x90/AED)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</si>
  <si>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</si>
  <si>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</si>
  <si>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</si>
  <si>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</si>
  <si>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</si>
  <si>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</si>
  <si>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</si>
  <si>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</si>
  <si>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</si>
  <si>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Local</t>
  </si>
  <si>
    <t xml:space="preserve">alclean.pk round toilet brush Rs 203; mjstraders 8142 toilet brush Rs 203</t>
  </si>
  <si>
    <t xml:space="preserve">CUT PIECES OF CLOTHS FOR CLEANING</t>
  </si>
  <si>
    <t xml:space="preserve">nasirnsons.com cotton waste per kg Rs 160 (cleaning cloth/rags)</t>
  </si>
  <si>
    <t xml:space="preserve">ANCHOR BOLT 10X110</t>
  </si>
  <si>
    <t xml:space="preserve">SMT</t>
  </si>
  <si>
    <t xml:space="preserve">experttoolsworld.com SMT Rawl anchor bolt 10mm heavy duty Rs 65 (length confirm)</t>
  </si>
  <si>
    <t xml:space="preserve">ANCHOR BOLT 12X120</t>
  </si>
  <si>
    <t xml:space="preserve">tss-store.com anchor bolt M12x120 AED 2.96 (page old; amazon.ae SS304 2pc AED 90) -&gt; PKR 266 (AED x90 basis)</t>
  </si>
  <si>
    <t xml:space="preserve">ANCHOR BOLT 12X160</t>
  </si>
  <si>
    <t xml:space="preserve">tss-store.com anchor bolt M12x120 AED 2.96 (12x160 listed nahi) -&gt; PKR 266 (AED x90 basis)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</si>
  <si>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</si>
  <si>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</si>
  <si>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</si>
  <si>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</si>
  <si>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</si>
  <si>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</si>
  <si>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</si>
  <si>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</si>
  <si>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</si>
  <si>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Stainarc</t>
  </si>
  <si>
    <t xml:space="preserve">priceinfo.pk Stainarc stainless rod 4.0mm 1kg packet Rs 4,200-4,400 (309L 2.6mm exact nahi)</t>
  </si>
  <si>
    <t xml:space="preserve">SS WELDING RODS 316L-16 2.6MM NO.12</t>
  </si>
  <si>
    <t xml:space="preserve">priceinfo.pk Stainarc stainless rod 4.0mm 1kg packet Rs 4,200-4,400 (316L 2.6mm exact nahi)</t>
  </si>
  <si>
    <t xml:space="preserve">BLIND RIVETS 04MMX25MM (1000PCS)</t>
  </si>
  <si>
    <t xml:space="preserve">supplyvan.com pop rivet 4.8x25mm 500pc AED 52 (x2 = 1000pc) -&gt; PKR 9,360 (x90/AED)</t>
  </si>
  <si>
    <t xml:space="preserve">TAP SET 1" BSPF LEFT HAND</t>
  </si>
  <si>
    <t xml:space="preserve">cromwell.co.uk Dormer E119 1in BSPF hand tap set of 3 GBP 224.40 incl VAT - RH rate, LH listed nahi -&gt; PKR 93,911 (fx x shelf basis)</t>
  </si>
  <si>
    <t xml:space="preserve">TAP SET 1" BSPF RIGHT HAND</t>
  </si>
  <si>
    <t xml:space="preserve">cromwell.co.uk Dormer E119 1in BSPF hand tap set of 3 GBP 224.40 incl VAT -&gt; PKR 93,911 (fx x shelf basis)</t>
  </si>
  <si>
    <t xml:space="preserve">TAP SET 1-1/4" BSPF LEFT HAND</t>
  </si>
  <si>
    <t xml:space="preserve">cromwell.co.uk Dormer E547 1-1/4in BSPF second tap GBP 214.80 x2 (set listed nahi; LH listed nahi) -&gt; PKR 179,788 (fx x shelf basis)</t>
  </si>
  <si>
    <t xml:space="preserve">TAP SET 1-1/4" BSPF RIGHT HAND</t>
  </si>
  <si>
    <t xml:space="preserve">cromwell.co.uk Dormer E547 1-1/4in BSPF second tap GBP 214.80 x2 (set listed nahi) -&gt; PKR 179,788 (fx x shelf basis)</t>
  </si>
  <si>
    <t xml:space="preserve">TAP SET M6</t>
  </si>
  <si>
    <t xml:space="preserve">finetoolsuae.com Dormer tap set 6mm AED 90-115 -&gt; PKR 10,350 (x90/AED)</t>
  </si>
  <si>
    <t xml:space="preserve">TAP SET M8</t>
  </si>
  <si>
    <t xml:space="preserve">inserv.lv Yato hand tap set M8 3pc YT-2935 EUR 7.60 -&gt; PKR 2,921 (fx x shelf basis)</t>
  </si>
  <si>
    <t xml:space="preserve">TAP SET M10</t>
  </si>
  <si>
    <t xml:space="preserve">finetoolsuae.com Dormer tap set 10mm AED 150.65 -&gt; PKR 13,558 (x90/AED)</t>
  </si>
  <si>
    <t xml:space="preserve">TAP SET M12</t>
  </si>
  <si>
    <t xml:space="preserve">amazon.ae Yato YT-2939 hand tap 3pc M12 AED 80.50 (finetoolsuae Dormer M12 198.95) -&gt; PKR 7,245 (x90/AED)</t>
  </si>
  <si>
    <t xml:space="preserve">TAP SET M16</t>
  </si>
  <si>
    <t xml:space="preserve">moglix.ae Yato YT-2941 hand tap 3pc M16 AED 110 incl VAT -&gt; PKR 9,900 (AED x90 basis)</t>
  </si>
  <si>
    <t xml:space="preserve">TAP SET M18</t>
  </si>
  <si>
    <t xml:space="preserve">finetoolsuae.com Dormer tap set 18MM AED 519.8 (listing ambiguous) -&gt; PKR 46,782 (x90/AED)</t>
  </si>
  <si>
    <t xml:space="preserve">TAP SET M20</t>
  </si>
  <si>
    <t xml:space="preserve">manomano.co.uk Yato hand tap set 3pc M20 GBP 24.99 -&gt; PKR 10,458 (AED x90 basis)</t>
  </si>
  <si>
    <t xml:space="preserve">TAP HANDLE</t>
  </si>
  <si>
    <t xml:space="preserve">speedextools.com Yato T-handle tap wrench M3-M8 YT-2986 AED 9.90 -&gt; PKR 891 (x90/AED)</t>
  </si>
  <si>
    <t xml:space="preserve">speedextools.com Yato T-handle tap wrench M5-M10 YT-2987 AED 16.00 -&gt; PKR 1,440 (x90/AED)</t>
  </si>
  <si>
    <t xml:space="preserve">INSIDE CALIPER 06"</t>
  </si>
  <si>
    <t xml:space="preserve">zoro.com Insize 7261-150 inside spring caliper 6in USD 23.25 -&gt; PKR 7,685 (x90/AED)</t>
  </si>
  <si>
    <t xml:space="preserve">INSIDE CALIPER 20"</t>
  </si>
  <si>
    <t xml:space="preserve">zoro.com Insize 7261-300 inside 12in USD 36.15 (20in listed nahi) -&gt; PKR 11,948 (x90/AED)</t>
  </si>
  <si>
    <t xml:space="preserve">OUTSIDE CALIPER 06"</t>
  </si>
  <si>
    <t xml:space="preserve">zoro.com Insize 7262-150 outside spring caliper 6in USD 22.35 -&gt; PKR 7,387 (x90/AED)</t>
  </si>
  <si>
    <t xml:space="preserve">OUTSIDE CALIPER 20"</t>
  </si>
  <si>
    <t xml:space="preserve">zoro.com Insize 7262-300 outside 12in USD 38.69 (20in listed nahi) -&gt; PKR 12,788 (x90/AED)</t>
  </si>
  <si>
    <t xml:space="preserve">RACHET TAP HANDLE</t>
  </si>
  <si>
    <t xml:space="preserve">speedextools.com Yato ratchet tap wrench M5-M12 YT-2991 AED 33.40 -&gt; PKR 3,006 (x90/AED)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</si>
  <si>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</si>
  <si>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</si>
  <si>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</si>
  <si>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</si>
  <si>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</si>
  <si>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</si>
  <si>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</si>
  <si>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</si>
  <si>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</si>
  <si>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</si>
  <si>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</si>
  <si>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Total 6pc needle file THT91462: toolshop.pk 1,352; toolsmart.pk 1,190 (6pc, 5pc nahi)</t>
  </si>
  <si>
    <t xml:space="preserve">END MILL CUTTER SIZE 5MM</t>
  </si>
  <si>
    <t xml:space="preserve">finetoolsuae.com Dormer end mill 5mm AED 96.6 -&gt; PKR 8,694 (x90/AED)</t>
  </si>
  <si>
    <t xml:space="preserve">END MILL CUTTER SIZE 6MM</t>
  </si>
  <si>
    <t xml:space="preserve">finetoolsuae.com Dormer end mill 6mm AED 72.45 -&gt; PKR 6,520 (x90/AED)</t>
  </si>
  <si>
    <t xml:space="preserve">END MILL CUTTER SIZE 8MM</t>
  </si>
  <si>
    <t xml:space="preserve">finetoolsuae.com Dormer end mill 8mm AED 85 (brand page 102.35) -&gt; PKR 7,650 (x90/AED)</t>
  </si>
  <si>
    <t xml:space="preserve">END MILL CUTTER SIZE 10MM</t>
  </si>
  <si>
    <t xml:space="preserve">finetoolsuae.com Dormer end mill 10mm AED 95 -&gt; PKR 8,550 (x90/AED)</t>
  </si>
  <si>
    <t xml:space="preserve">END MILL CUTTER SIZE 12MM</t>
  </si>
  <si>
    <t xml:space="preserve">Generic HSS</t>
  </si>
  <si>
    <t xml:space="preserve">hallroadlahore.pk 12x12x53x110 4-flute HSS end mill Rs 2,900</t>
  </si>
  <si>
    <t xml:space="preserve">END MILL CUTTER SIZE 16MM</t>
  </si>
  <si>
    <t xml:space="preserve">finetoolsuae.com Dormer end mill 16mm AED 185.15 -&gt; PKR 16,664 (x90/AED)</t>
  </si>
  <si>
    <t xml:space="preserve">END MILL CUTTER SIZE 18MM</t>
  </si>
  <si>
    <t xml:space="preserve">finetoolsuae.com Dormer end mill 16mm AED 185.15 (18mm listed nahi) -&gt; PKR 16,664 (x90/AED)</t>
  </si>
  <si>
    <t xml:space="preserve">END MILL CUTTER SIZE 22MM</t>
  </si>
  <si>
    <t xml:space="preserve">finetoolsuae.com Dormer end mill 25mm AED 187.45 (22mm listed nahi) -&gt; PKR 16,870 (x90/AED)</t>
  </si>
  <si>
    <t xml:space="preserve">END MILL CUTTER SIZE 25MM</t>
  </si>
  <si>
    <t xml:space="preserve">finetoolsuae.com Dormer end mill 25mm AED 187.45 (tooluae 155) -&gt; PKR 16,870 (x90/AED)</t>
  </si>
  <si>
    <t xml:space="preserve">DIE NUT SIZE 5MM</t>
  </si>
  <si>
    <t xml:space="preserve">lcsc.com Yato round die M5 YT-2962 USD 2.46 -&gt; PKR 813 (fx x shelf basis)</t>
  </si>
  <si>
    <t xml:space="preserve">DIE NUT SIZE 6MM</t>
  </si>
  <si>
    <t xml:space="preserve">lcsc.com Yato round die M5 YT-2962 USD 2.46 (M6 YT-2963 same size 20mm, price listed nahi) -&gt; PKR 813 (fx x shelf basis)</t>
  </si>
  <si>
    <t xml:space="preserve">DIE NUT SIZE 8MM</t>
  </si>
  <si>
    <t xml:space="preserve">inserv.lv Yato round die M8 YT-2965 EUR 4.70 -&gt; PKR 1,806 (fx x shelf basis)</t>
  </si>
  <si>
    <t xml:space="preserve">DIE NUT SIZE 10MM</t>
  </si>
  <si>
    <t xml:space="preserve">inserv.lv Yato round die M10 YT-2967 EUR 4.70 -&gt; PKR 1,806 (fx x shelf basis)</t>
  </si>
  <si>
    <t xml:space="preserve">DIE NUT SIZE 12MM</t>
  </si>
  <si>
    <t xml:space="preserve">800benaa.com Yato die M16 AED 57.14 (M12 price listed nahi - upper rate) -&gt; PKR 5,143 (fx x shelf basis)</t>
  </si>
  <si>
    <t xml:space="preserve">DIE NUT SIZE 16MM</t>
  </si>
  <si>
    <t xml:space="preserve">800benaa.com Yato round thread die M16 YT-2971 AED 57.14 ex VAT -&gt; PKR 5,143 (AED x90 basis)</t>
  </si>
  <si>
    <t xml:space="preserve">DIE NUT HANDLE SMALL</t>
  </si>
  <si>
    <t xml:space="preserve">inserv.lv Yato die handle M10-M11 YT-2983 EUR 5.30 -&gt; PKR 2,037 (fx x shelf basis)</t>
  </si>
  <si>
    <t xml:space="preserve">DIE NUT HANDLE MEDIUM</t>
  </si>
  <si>
    <t xml:space="preserve">inserv.lv Yato die handle M16-M20 YT-2985 EUR 9.70 (M12-14 38mm price listed nahi) -&gt; PKR 3,728 (fx x shelf basis)</t>
  </si>
  <si>
    <t xml:space="preserve">DIE NUT HANDLE LARGE</t>
  </si>
  <si>
    <t xml:space="preserve">inserv.lv Yato die handle M16-M20 YT-2985 EUR 9.70 -&gt; PKR 3,728 (fx x shelf basis)</t>
  </si>
  <si>
    <t xml:space="preserve">3 JAW CHUCK 4"</t>
  </si>
  <si>
    <t xml:space="preserve">santoolsme.com SANOU 3-jaw lathe chuck 100mm AED 300 (excl VAT) -&gt; PKR 27,000 (x90/AED)</t>
  </si>
  <si>
    <t xml:space="preserve">BENCH VISE 08"</t>
  </si>
  <si>
    <t xml:space="preserve">toolsmart.pk Ingco bench vice 8in HBV088 Rs 31,300; purchaser 24,360</t>
  </si>
  <si>
    <t xml:space="preserve">BENCH VISE 12"</t>
  </si>
  <si>
    <t xml:space="preserve">goldentools.ae Pioneer 10in heavy duty bench vise AED 440 (12in listed nahi) -&gt; PKR 39,600 (x90/AED)</t>
  </si>
  <si>
    <t xml:space="preserve">HSS TOOL 08X08X200MM</t>
  </si>
  <si>
    <t xml:space="preserve">amazon.com HSS lathe tool bit 8x8x200mm 4pc USD 18.99 (=4.75 ea) -&gt; PKR 1,570 (AED x90 basis)</t>
  </si>
  <si>
    <t xml:space="preserve">HSS TOOL 10MMX10MMX200MM</t>
  </si>
  <si>
    <t xml:space="preserve">ebay HSS 10x10x200 USD 16.25 ea -&gt; PKR 5,371 (x90/AED)</t>
  </si>
  <si>
    <t xml:space="preserve">HSS TOOL 12MMX12MMX200MM</t>
  </si>
  <si>
    <t xml:space="preserve">ebay HSS square tool bit 1/2in x 10in M2 USD 35.25 -&gt; PKR 11,651 (x90/AED)</t>
  </si>
  <si>
    <t xml:space="preserve">HSS TOOL 16MMX16MMX200MM</t>
  </si>
  <si>
    <t xml:space="preserve">ebay.co.uk HSS tool bit 16x16x200mm GBP 4.99 (variant price unclear) -&gt; PKR 2,088 (fx x shelf basis)</t>
  </si>
  <si>
    <t xml:space="preserve">HSS PARTING OFF TOOL 1/8" X 3/4" X 8"</t>
  </si>
  <si>
    <t xml:space="preserve">ebay HSS parting blade 1/8x3/4x6in USD 22.90 (8in listed nahi) -&gt; PKR 7,569 (AED x90 basis)</t>
  </si>
  <si>
    <t xml:space="preserve">HYDRAULIC JACK 3 TON</t>
  </si>
  <si>
    <t xml:space="preserve">Ronix</t>
  </si>
  <si>
    <t xml:space="preserve">ingcomart.com.pk Ronix RH-4903 5T bottle jack Rs 5,360-5,950 (3T nahi mila, 5T diya)</t>
  </si>
  <si>
    <t xml:space="preserve">HYDRAULIC JACK 5 TON</t>
  </si>
  <si>
    <t xml:space="preserve">ingcomart.com.pk Ronix RH-4903 5T bottle jack Rs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</si>
  <si>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</si>
  <si>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</si>
  <si>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</si>
  <si>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</si>
  <si>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</si>
  <si>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aliweldinghouse.pk earth clamp 500A Rs 500 (1000A listed nahi)</t>
  </si>
  <si>
    <t xml:space="preserve">WELDING CABLE 1000 AMPERE</t>
  </si>
  <si>
    <t xml:space="preserve">enontraders.com 95mm flexible pure copper cable Rs 1,100/ft (=3,609/m) (PVC, welding rubber nahi)</t>
  </si>
  <si>
    <t xml:space="preserve">CABLE LUGS 1000 AMPERE</t>
  </si>
  <si>
    <t xml:space="preserve">fiaz.com.pk 95mm copper lug 140; enontraders.com 95mm thimble 150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</si>
  <si>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</si>
  <si>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</si>
  <si>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</si>
  <si>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</si>
  <si>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</si>
  <si>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</si>
  <si>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finetoolsuae.com Dormer SS drill bit A108 4.00mm AED 12 -&gt; PKR 1,080 (x90/AED)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</si>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</sst>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280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>YES</v>
      </c>
      <c r="P6" s="6" t="s">
        <v>24</v>
      </c>
      <c r="Q6" s="7" t="s">
        <v>25</v>
      </c>
      <c r="R6" s="7" t="s">
        <v>26</v>
      </c>
    </row>
    <row r="7" customFormat="false" ht="22.3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306</v>
      </c>
      <c r="H7" s="9" t="n">
        <v>306</v>
      </c>
      <c r="I7" s="10" t="n">
        <f aca="false">IF(E7=0,0,(E7-H7)/E7)</f>
        <v>0.327472527472528</v>
      </c>
      <c r="J7" s="6" t="str">
        <f aca="false">IF(E7&lt;G7,"LOSS",IF(E7&lt;H7*1.1,"THIN / RISK",IF(E7&gt;H7*1.8,"OVERPRICED?","OK")))</f>
        <v>OK</v>
      </c>
      <c r="K7" s="8" t="n">
        <f aca="false">IF(J7="OVERPRICED?",ROUND(H7*1.35,-1),MAX(E7,ROUND(H7*(1+$E$3),-1)))</f>
        <v>455</v>
      </c>
      <c r="L7" s="8" t="n">
        <f aca="false">D7*E7</f>
        <v>910</v>
      </c>
      <c r="M7" s="8" t="n">
        <f aca="false">D7*K7</f>
        <v>910</v>
      </c>
      <c r="N7" s="8" t="n">
        <f aca="false">D7*H7</f>
        <v>612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26</v>
      </c>
    </row>
    <row r="8" customFormat="false" ht="32.8" hidden="false" customHeight="false" outlineLevel="0" collapsed="false">
      <c r="A8" s="6" t="n">
        <v>3</v>
      </c>
      <c r="B8" s="7" t="s">
        <v>31</v>
      </c>
      <c r="C8" s="6" t="s">
        <v>28</v>
      </c>
      <c r="D8" s="6" t="n">
        <v>2</v>
      </c>
      <c r="E8" s="8" t="n">
        <v>58500</v>
      </c>
      <c r="F8" s="7" t="s">
        <v>32</v>
      </c>
      <c r="G8" s="9" t="n">
        <v>59985</v>
      </c>
      <c r="H8" s="9" t="n">
        <v>59985</v>
      </c>
      <c r="I8" s="10" t="n">
        <f aca="false">IF(E8=0,0,(E8-H8)/E8)</f>
        <v>-0.0253846153846154</v>
      </c>
      <c r="J8" s="6" t="str">
        <f aca="false">IF(E8&lt;G8,"LOSS",IF(E8&lt;H8*1.1,"THIN / RISK",IF(E8&gt;H8*1.8,"OVERPRICED?","OK")))</f>
        <v>LOSS</v>
      </c>
      <c r="K8" s="8" t="n">
        <f aca="false">IF(J8="OVERPRICED?",ROUND(H8*1.35,-1),MAX(E8,ROUND(H8*(1+$E$3),-1)))</f>
        <v>68980</v>
      </c>
      <c r="L8" s="8" t="n">
        <f aca="false">D8*E8</f>
        <v>117000</v>
      </c>
      <c r="M8" s="8" t="n">
        <f aca="false">D8*K8</f>
        <v>137960</v>
      </c>
      <c r="N8" s="8" t="n">
        <f aca="false">D8*H8</f>
        <v>119970</v>
      </c>
      <c r="O8" s="6" t="str">
        <f aca="false">IF(ISNUMBER(SEARCH(C8,F8)),"","YES")</f>
        <v>YES</v>
      </c>
      <c r="P8" s="6" t="s">
        <v>33</v>
      </c>
      <c r="Q8" s="7" t="s">
        <v>34</v>
      </c>
      <c r="R8" s="7"/>
    </row>
    <row r="9" customFormat="false" ht="22.35" hidden="false" customHeight="false" outlineLevel="0" collapsed="false">
      <c r="A9" s="6" t="n">
        <v>4</v>
      </c>
      <c r="B9" s="7" t="s">
        <v>35</v>
      </c>
      <c r="C9" s="6" t="s">
        <v>28</v>
      </c>
      <c r="D9" s="6" t="n">
        <v>50</v>
      </c>
      <c r="E9" s="8" t="n">
        <v>715</v>
      </c>
      <c r="F9" s="7" t="s">
        <v>36</v>
      </c>
      <c r="G9" s="9" t="n">
        <v>1449</v>
      </c>
      <c r="H9" s="9" t="n">
        <v>1449</v>
      </c>
      <c r="I9" s="10" t="n">
        <f aca="false">IF(E9=0,0,(E9-H9)/E9)</f>
        <v>-1.02657342657343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1670</v>
      </c>
      <c r="L9" s="8" t="n">
        <f aca="false">D9*E9</f>
        <v>35750</v>
      </c>
      <c r="M9" s="8" t="n">
        <f aca="false">D9*K9</f>
        <v>83500</v>
      </c>
      <c r="N9" s="8" t="n">
        <f aca="false">D9*H9</f>
        <v>72450</v>
      </c>
      <c r="O9" s="6" t="str">
        <f aca="false">IF(ISNUMBER(SEARCH(C9,F9)),"","YES")</f>
        <v>YES</v>
      </c>
      <c r="P9" s="6" t="s">
        <v>33</v>
      </c>
      <c r="Q9" s="7" t="s">
        <v>37</v>
      </c>
      <c r="R9" s="7"/>
    </row>
    <row r="10" customFormat="false" ht="22.35" hidden="false" customHeight="false" outlineLevel="0" collapsed="false">
      <c r="A10" s="6" t="n">
        <v>5</v>
      </c>
      <c r="B10" s="7" t="s">
        <v>38</v>
      </c>
      <c r="C10" s="6" t="s">
        <v>28</v>
      </c>
      <c r="D10" s="6" t="n">
        <v>2</v>
      </c>
      <c r="E10" s="8" t="n">
        <v>41600</v>
      </c>
      <c r="F10" s="7" t="s">
        <v>39</v>
      </c>
      <c r="G10" s="9" t="n">
        <v>39600</v>
      </c>
      <c r="H10" s="9" t="n">
        <v>39600</v>
      </c>
      <c r="I10" s="10" t="n">
        <f aca="false">IF(E10=0,0,(E10-H10)/E10)</f>
        <v>0.0480769230769231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45540</v>
      </c>
      <c r="L10" s="8" t="n">
        <f aca="false">D10*E10</f>
        <v>83200</v>
      </c>
      <c r="M10" s="8" t="n">
        <f aca="false">D10*K10</f>
        <v>91080</v>
      </c>
      <c r="N10" s="8" t="n">
        <f aca="false">D10*H10</f>
        <v>79200</v>
      </c>
      <c r="O10" s="6" t="str">
        <f aca="false">IF(ISNUMBER(SEARCH(C10,F10)),"","YES")</f>
        <v>YES</v>
      </c>
      <c r="P10" s="6" t="s">
        <v>33</v>
      </c>
      <c r="Q10" s="7" t="s">
        <v>40</v>
      </c>
      <c r="R10" s="7"/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33</v>
      </c>
      <c r="Q11" s="7" t="s">
        <v>43</v>
      </c>
      <c r="R11" s="7"/>
    </row>
    <row r="12" customFormat="false" ht="15" hidden="false" customHeight="false" outlineLevel="0" collapsed="false">
      <c r="A12" s="6" t="n">
        <v>7</v>
      </c>
      <c r="B12" s="7" t="s">
        <v>44</v>
      </c>
      <c r="C12" s="6" t="s">
        <v>22</v>
      </c>
      <c r="D12" s="6" t="n">
        <v>24</v>
      </c>
      <c r="E12" s="8" t="n">
        <v>507</v>
      </c>
      <c r="F12" s="7" t="s">
        <v>45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33</v>
      </c>
      <c r="Q12" s="7" t="s">
        <v>46</v>
      </c>
      <c r="R12" s="7"/>
    </row>
    <row r="13" customFormat="false" ht="32.8" hidden="false" customHeight="false" outlineLevel="0" collapsed="false">
      <c r="A13" s="6" t="n">
        <v>8</v>
      </c>
      <c r="B13" s="7" t="s">
        <v>47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9" t="n">
        <v>270000</v>
      </c>
      <c r="L13" s="8" t="n">
        <f aca="false">D13*E13</f>
        <v>483210</v>
      </c>
      <c r="M13" s="8" t="n">
        <f aca="false">D13*K13</f>
        <v>810000</v>
      </c>
      <c r="N13" s="8" t="n">
        <f aca="false">D13*H13</f>
        <v>817320</v>
      </c>
      <c r="O13" s="6" t="str">
        <f aca="false">IF(ISNUMBER(SEARCH(C13,F13)),"","YES")</f>
        <v/>
      </c>
      <c r="P13" s="6" t="s">
        <v>33</v>
      </c>
      <c r="Q13" s="7" t="s">
        <v>48</v>
      </c>
      <c r="R13" s="7" t="s">
        <v>49</v>
      </c>
    </row>
    <row r="14" customFormat="false" ht="32.8" hidden="false" customHeight="false" outlineLevel="0" collapsed="false">
      <c r="A14" s="6" t="n">
        <v>9</v>
      </c>
      <c r="B14" s="7" t="s">
        <v>50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24</v>
      </c>
      <c r="Q14" s="7" t="s">
        <v>51</v>
      </c>
      <c r="R14" s="7" t="s">
        <v>26</v>
      </c>
    </row>
    <row r="15" customFormat="false" ht="32.8" hidden="false" customHeight="false" outlineLevel="0" collapsed="false">
      <c r="A15" s="6" t="n">
        <v>10</v>
      </c>
      <c r="B15" s="7" t="s">
        <v>52</v>
      </c>
      <c r="C15" s="6" t="s">
        <v>28</v>
      </c>
      <c r="D15" s="6" t="n">
        <v>4</v>
      </c>
      <c r="E15" s="8" t="n">
        <v>15600</v>
      </c>
      <c r="F15" s="7" t="s">
        <v>53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33</v>
      </c>
      <c r="Q15" s="7" t="s">
        <v>54</v>
      </c>
      <c r="R15" s="7"/>
    </row>
    <row r="16" customFormat="false" ht="15" hidden="false" customHeight="false" outlineLevel="0" collapsed="false">
      <c r="A16" s="6" t="n">
        <v>11</v>
      </c>
      <c r="B16" s="7" t="s">
        <v>55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33</v>
      </c>
      <c r="Q16" s="7" t="s">
        <v>56</v>
      </c>
      <c r="R16" s="7"/>
    </row>
    <row r="17" customFormat="false" ht="22.35" hidden="false" customHeight="false" outlineLevel="0" collapsed="false">
      <c r="A17" s="6" t="n">
        <v>12</v>
      </c>
      <c r="B17" s="7" t="s">
        <v>57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33</v>
      </c>
      <c r="Q17" s="7" t="s">
        <v>58</v>
      </c>
      <c r="R17" s="7"/>
    </row>
    <row r="18" customFormat="false" ht="22.35" hidden="false" customHeight="false" outlineLevel="0" collapsed="false">
      <c r="A18" s="6" t="n">
        <v>13</v>
      </c>
      <c r="B18" s="7" t="s">
        <v>59</v>
      </c>
      <c r="C18" s="6" t="s">
        <v>28</v>
      </c>
      <c r="D18" s="6" t="n">
        <v>4</v>
      </c>
      <c r="E18" s="8" t="n">
        <v>22100</v>
      </c>
      <c r="F18" s="7" t="s">
        <v>60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33</v>
      </c>
      <c r="Q18" s="7" t="s">
        <v>61</v>
      </c>
      <c r="R18" s="7"/>
    </row>
    <row r="19" customFormat="false" ht="15" hidden="false" customHeight="false" outlineLevel="0" collapsed="false">
      <c r="A19" s="6" t="n">
        <v>14</v>
      </c>
      <c r="B19" s="7" t="s">
        <v>62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33</v>
      </c>
      <c r="Q19" s="7" t="s">
        <v>63</v>
      </c>
      <c r="R19" s="7"/>
    </row>
    <row r="20" customFormat="false" ht="22.35" hidden="false" customHeight="false" outlineLevel="0" collapsed="false">
      <c r="A20" s="6" t="n">
        <v>15</v>
      </c>
      <c r="B20" s="7" t="s">
        <v>64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33</v>
      </c>
      <c r="Q20" s="7" t="s">
        <v>65</v>
      </c>
      <c r="R20" s="7"/>
    </row>
    <row r="21" customFormat="false" ht="32.8" hidden="false" customHeight="false" outlineLevel="0" collapsed="false">
      <c r="A21" s="6" t="n">
        <v>16</v>
      </c>
      <c r="B21" s="7" t="s">
        <v>66</v>
      </c>
      <c r="C21" s="6" t="s">
        <v>28</v>
      </c>
      <c r="D21" s="6" t="n">
        <v>4</v>
      </c>
      <c r="E21" s="8" t="n">
        <v>8450</v>
      </c>
      <c r="F21" s="7" t="s">
        <v>53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24</v>
      </c>
      <c r="Q21" s="7" t="s">
        <v>67</v>
      </c>
      <c r="R21" s="7" t="s">
        <v>26</v>
      </c>
    </row>
    <row r="22" customFormat="false" ht="15" hidden="false" customHeight="false" outlineLevel="0" collapsed="false">
      <c r="A22" s="6" t="n">
        <v>17</v>
      </c>
      <c r="B22" s="7" t="s">
        <v>68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33</v>
      </c>
      <c r="Q22" s="7" t="s">
        <v>69</v>
      </c>
      <c r="R22" s="7"/>
    </row>
    <row r="23" customFormat="false" ht="22.35" hidden="false" customHeight="false" outlineLevel="0" collapsed="false">
      <c r="A23" s="6" t="n">
        <v>18</v>
      </c>
      <c r="B23" s="7" t="s">
        <v>70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33</v>
      </c>
      <c r="Q23" s="7" t="s">
        <v>71</v>
      </c>
      <c r="R23" s="7"/>
    </row>
    <row r="24" customFormat="false" ht="15" hidden="false" customHeight="false" outlineLevel="0" collapsed="false">
      <c r="A24" s="6" t="n">
        <v>19</v>
      </c>
      <c r="B24" s="7" t="s">
        <v>72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33</v>
      </c>
      <c r="Q24" s="7" t="s">
        <v>73</v>
      </c>
      <c r="R24" s="7"/>
    </row>
    <row r="25" customFormat="false" ht="32.8" hidden="false" customHeight="false" outlineLevel="0" collapsed="false">
      <c r="A25" s="6" t="n">
        <v>20</v>
      </c>
      <c r="B25" s="7" t="s">
        <v>74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1125</v>
      </c>
      <c r="H25" s="9" t="n">
        <v>1125</v>
      </c>
      <c r="I25" s="10" t="n">
        <f aca="false">IF(E25=0,0,(E25-H25)/E25)</f>
        <v>-0.236263736263736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1290</v>
      </c>
      <c r="L25" s="8" t="n">
        <f aca="false">D25*E25</f>
        <v>2730</v>
      </c>
      <c r="M25" s="8" t="n">
        <f aca="false">D25*K25</f>
        <v>3870</v>
      </c>
      <c r="N25" s="8" t="n">
        <f aca="false">D25*H25</f>
        <v>3375</v>
      </c>
      <c r="O25" s="6" t="str">
        <f aca="false">IF(ISNUMBER(SEARCH(C25,F25)),"","YES")</f>
        <v/>
      </c>
      <c r="P25" s="6" t="s">
        <v>33</v>
      </c>
      <c r="Q25" s="7" t="s">
        <v>75</v>
      </c>
      <c r="R25" s="7"/>
    </row>
    <row r="26" customFormat="false" ht="22.35" hidden="false" customHeight="false" outlineLevel="0" collapsed="false">
      <c r="A26" s="6" t="n">
        <v>21</v>
      </c>
      <c r="B26" s="7" t="s">
        <v>76</v>
      </c>
      <c r="C26" s="6" t="s">
        <v>28</v>
      </c>
      <c r="D26" s="6" t="n">
        <v>3</v>
      </c>
      <c r="E26" s="8" t="n">
        <v>1170</v>
      </c>
      <c r="F26" s="7" t="s">
        <v>77</v>
      </c>
      <c r="G26" s="9" t="n">
        <v>1845</v>
      </c>
      <c r="H26" s="9" t="n">
        <v>1845</v>
      </c>
      <c r="I26" s="10" t="n">
        <f aca="false">IF(E26=0,0,(E26-H26)/E26)</f>
        <v>-0.576923076923077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2120</v>
      </c>
      <c r="L26" s="8" t="n">
        <f aca="false">D26*E26</f>
        <v>3510</v>
      </c>
      <c r="M26" s="8" t="n">
        <f aca="false">D26*K26</f>
        <v>6360</v>
      </c>
      <c r="N26" s="8" t="n">
        <f aca="false">D26*H26</f>
        <v>5535</v>
      </c>
      <c r="O26" s="6" t="str">
        <f aca="false">IF(ISNUMBER(SEARCH(C26,F26)),"","YES")</f>
        <v>YES</v>
      </c>
      <c r="P26" s="6" t="s">
        <v>33</v>
      </c>
      <c r="Q26" s="7" t="s">
        <v>78</v>
      </c>
      <c r="R26" s="7"/>
    </row>
    <row r="27" customFormat="false" ht="32.8" hidden="false" customHeight="false" outlineLevel="0" collapsed="false">
      <c r="A27" s="6" t="n">
        <v>22</v>
      </c>
      <c r="B27" s="7" t="s">
        <v>79</v>
      </c>
      <c r="C27" s="6" t="s">
        <v>28</v>
      </c>
      <c r="D27" s="6" t="n">
        <v>3</v>
      </c>
      <c r="E27" s="8" t="n">
        <v>1430</v>
      </c>
      <c r="F27" s="7" t="s">
        <v>77</v>
      </c>
      <c r="G27" s="9" t="n">
        <v>1845</v>
      </c>
      <c r="H27" s="9" t="n">
        <v>1845</v>
      </c>
      <c r="I27" s="10" t="n">
        <f aca="false">IF(E27=0,0,(E27-H27)/E27)</f>
        <v>-0.29020979020979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2120</v>
      </c>
      <c r="L27" s="8" t="n">
        <f aca="false">D27*E27</f>
        <v>4290</v>
      </c>
      <c r="M27" s="8" t="n">
        <f aca="false">D27*K27</f>
        <v>6360</v>
      </c>
      <c r="N27" s="8" t="n">
        <f aca="false">D27*H27</f>
        <v>5535</v>
      </c>
      <c r="O27" s="6" t="str">
        <f aca="false">IF(ISNUMBER(SEARCH(C27,F27)),"","YES")</f>
        <v>YES</v>
      </c>
      <c r="P27" s="6" t="s">
        <v>24</v>
      </c>
      <c r="Q27" s="7" t="s">
        <v>80</v>
      </c>
      <c r="R27" s="7" t="s">
        <v>26</v>
      </c>
    </row>
    <row r="28" customFormat="false" ht="22.35" hidden="false" customHeight="false" outlineLevel="0" collapsed="false">
      <c r="A28" s="6" t="n">
        <v>23</v>
      </c>
      <c r="B28" s="7" t="s">
        <v>81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33</v>
      </c>
      <c r="Q28" s="7" t="s">
        <v>82</v>
      </c>
      <c r="R28" s="7"/>
    </row>
    <row r="29" customFormat="false" ht="22.35" hidden="false" customHeight="false" outlineLevel="0" collapsed="false">
      <c r="A29" s="6" t="n">
        <v>24</v>
      </c>
      <c r="B29" s="7" t="s">
        <v>83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33</v>
      </c>
      <c r="Q29" s="7" t="s">
        <v>82</v>
      </c>
      <c r="R29" s="7"/>
    </row>
    <row r="30" customFormat="false" ht="22.35" hidden="false" customHeight="false" outlineLevel="0" collapsed="false">
      <c r="A30" s="6" t="n">
        <v>25</v>
      </c>
      <c r="B30" s="7" t="s">
        <v>84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33</v>
      </c>
      <c r="Q30" s="7" t="s">
        <v>82</v>
      </c>
      <c r="R30" s="7"/>
    </row>
    <row r="31" customFormat="false" ht="22.35" hidden="false" customHeight="false" outlineLevel="0" collapsed="false">
      <c r="A31" s="6" t="n">
        <v>26</v>
      </c>
      <c r="B31" s="7" t="s">
        <v>85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33</v>
      </c>
      <c r="Q31" s="7" t="s">
        <v>82</v>
      </c>
      <c r="R31" s="7"/>
    </row>
    <row r="32" customFormat="false" ht="32.8" hidden="false" customHeight="false" outlineLevel="0" collapsed="false">
      <c r="A32" s="6" t="n">
        <v>27</v>
      </c>
      <c r="B32" s="7" t="s">
        <v>86</v>
      </c>
      <c r="C32" s="6" t="s">
        <v>28</v>
      </c>
      <c r="D32" s="6" t="n">
        <v>4</v>
      </c>
      <c r="E32" s="8" t="n">
        <v>6760</v>
      </c>
      <c r="F32" s="7" t="s">
        <v>39</v>
      </c>
      <c r="G32" s="9" t="n">
        <v>6368</v>
      </c>
      <c r="H32" s="9" t="n">
        <v>6368</v>
      </c>
      <c r="I32" s="10" t="n">
        <f aca="false">IF(E32=0,0,(E32-H32)/E32)</f>
        <v>0.0579881656804734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7320</v>
      </c>
      <c r="L32" s="8" t="n">
        <f aca="false">D32*E32</f>
        <v>27040</v>
      </c>
      <c r="M32" s="8" t="n">
        <f aca="false">D32*K32</f>
        <v>29280</v>
      </c>
      <c r="N32" s="8" t="n">
        <f aca="false">D32*H32</f>
        <v>25472</v>
      </c>
      <c r="O32" s="6" t="str">
        <f aca="false">IF(ISNUMBER(SEARCH(C32,F32)),"","YES")</f>
        <v>YES</v>
      </c>
      <c r="P32" s="6" t="s">
        <v>24</v>
      </c>
      <c r="Q32" s="7" t="s">
        <v>87</v>
      </c>
      <c r="R32" s="7" t="s">
        <v>26</v>
      </c>
    </row>
    <row r="33" customFormat="false" ht="32.8" hidden="false" customHeight="false" outlineLevel="0" collapsed="false">
      <c r="A33" s="6" t="n">
        <v>28</v>
      </c>
      <c r="B33" s="7" t="s">
        <v>88</v>
      </c>
      <c r="C33" s="6" t="s">
        <v>28</v>
      </c>
      <c r="D33" s="6" t="n">
        <v>3</v>
      </c>
      <c r="E33" s="8" t="n">
        <v>6760</v>
      </c>
      <c r="F33" s="7" t="s">
        <v>77</v>
      </c>
      <c r="G33" s="9" t="n">
        <v>4996</v>
      </c>
      <c r="H33" s="9" t="n">
        <v>4996</v>
      </c>
      <c r="I33" s="10" t="n">
        <f aca="false">IF(E33=0,0,(E33-H33)/E33)</f>
        <v>0.26094674556213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14988</v>
      </c>
      <c r="O33" s="6" t="str">
        <f aca="false">IF(ISNUMBER(SEARCH(C33,F33)),"","YES")</f>
        <v>YES</v>
      </c>
      <c r="P33" s="6" t="s">
        <v>24</v>
      </c>
      <c r="Q33" s="7" t="s">
        <v>89</v>
      </c>
      <c r="R33" s="7" t="s">
        <v>26</v>
      </c>
    </row>
    <row r="34" customFormat="false" ht="15" hidden="false" customHeight="false" outlineLevel="0" collapsed="false">
      <c r="A34" s="6" t="n">
        <v>30</v>
      </c>
      <c r="B34" s="7" t="s">
        <v>90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33</v>
      </c>
      <c r="Q34" s="7" t="s">
        <v>91</v>
      </c>
      <c r="R34" s="7"/>
    </row>
    <row r="35" customFormat="false" ht="22.35" hidden="false" customHeight="false" outlineLevel="0" collapsed="false">
      <c r="A35" s="6" t="n">
        <v>31</v>
      </c>
      <c r="B35" s="7" t="s">
        <v>92</v>
      </c>
      <c r="C35" s="6" t="s">
        <v>28</v>
      </c>
      <c r="D35" s="6" t="n">
        <v>3</v>
      </c>
      <c r="E35" s="8" t="n">
        <v>2210</v>
      </c>
      <c r="F35" s="7" t="s">
        <v>42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33</v>
      </c>
      <c r="Q35" s="7" t="s">
        <v>93</v>
      </c>
      <c r="R35" s="7"/>
    </row>
    <row r="36" customFormat="false" ht="22.35" hidden="false" customHeight="false" outlineLevel="0" collapsed="false">
      <c r="A36" s="6" t="n">
        <v>32</v>
      </c>
      <c r="B36" s="7" t="s">
        <v>94</v>
      </c>
      <c r="C36" s="6" t="s">
        <v>28</v>
      </c>
      <c r="D36" s="6" t="n">
        <v>3</v>
      </c>
      <c r="E36" s="8" t="n">
        <v>2886</v>
      </c>
      <c r="F36" s="7" t="s">
        <v>53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33</v>
      </c>
      <c r="Q36" s="7" t="s">
        <v>95</v>
      </c>
      <c r="R36" s="7"/>
    </row>
    <row r="37" customFormat="false" ht="15" hidden="false" customHeight="false" outlineLevel="0" collapsed="false">
      <c r="A37" s="6" t="n">
        <v>33</v>
      </c>
      <c r="B37" s="7" t="s">
        <v>96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33</v>
      </c>
      <c r="Q37" s="7" t="s">
        <v>97</v>
      </c>
      <c r="R37" s="7"/>
    </row>
    <row r="38" customFormat="false" ht="15" hidden="false" customHeight="false" outlineLevel="0" collapsed="false">
      <c r="A38" s="6" t="n">
        <v>34</v>
      </c>
      <c r="B38" s="7" t="s">
        <v>98</v>
      </c>
      <c r="C38" s="6" t="s">
        <v>28</v>
      </c>
      <c r="D38" s="6" t="n">
        <v>2</v>
      </c>
      <c r="E38" s="8" t="n">
        <v>6120</v>
      </c>
      <c r="F38" s="7" t="s">
        <v>53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33</v>
      </c>
      <c r="Q38" s="7" t="s">
        <v>99</v>
      </c>
      <c r="R38" s="7"/>
    </row>
    <row r="39" customFormat="false" ht="22.35" hidden="false" customHeight="false" outlineLevel="0" collapsed="false">
      <c r="A39" s="6" t="n">
        <v>35</v>
      </c>
      <c r="B39" s="7" t="s">
        <v>100</v>
      </c>
      <c r="C39" s="6" t="s">
        <v>28</v>
      </c>
      <c r="D39" s="6" t="n">
        <v>2</v>
      </c>
      <c r="E39" s="8" t="n">
        <v>12870</v>
      </c>
      <c r="F39" s="7" t="s">
        <v>42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33</v>
      </c>
      <c r="Q39" s="7" t="s">
        <v>101</v>
      </c>
      <c r="R39" s="7"/>
    </row>
    <row r="40" customFormat="false" ht="22.35" hidden="false" customHeight="false" outlineLevel="0" collapsed="false">
      <c r="A40" s="6" t="n">
        <v>36</v>
      </c>
      <c r="B40" s="7" t="s">
        <v>102</v>
      </c>
      <c r="C40" s="6" t="s">
        <v>28</v>
      </c>
      <c r="D40" s="6" t="n">
        <v>3</v>
      </c>
      <c r="E40" s="8" t="n">
        <v>1950</v>
      </c>
      <c r="F40" s="7" t="s">
        <v>42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24</v>
      </c>
      <c r="Q40" s="7" t="s">
        <v>103</v>
      </c>
      <c r="R40" s="7" t="s">
        <v>26</v>
      </c>
    </row>
    <row r="41" customFormat="false" ht="22.35" hidden="false" customHeight="false" outlineLevel="0" collapsed="false">
      <c r="A41" s="6" t="n">
        <v>37</v>
      </c>
      <c r="B41" s="7" t="s">
        <v>104</v>
      </c>
      <c r="C41" s="6" t="s">
        <v>28</v>
      </c>
      <c r="D41" s="6" t="n">
        <v>3</v>
      </c>
      <c r="E41" s="8" t="n">
        <v>4550</v>
      </c>
      <c r="F41" s="7" t="s">
        <v>53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33</v>
      </c>
      <c r="Q41" s="7" t="s">
        <v>105</v>
      </c>
      <c r="R41" s="7"/>
    </row>
    <row r="42" customFormat="false" ht="22.35" hidden="false" customHeight="false" outlineLevel="0" collapsed="false">
      <c r="A42" s="6" t="n">
        <v>38</v>
      </c>
      <c r="B42" s="7" t="s">
        <v>106</v>
      </c>
      <c r="C42" s="6" t="s">
        <v>28</v>
      </c>
      <c r="D42" s="6" t="n">
        <v>3</v>
      </c>
      <c r="E42" s="8" t="n">
        <v>6240</v>
      </c>
      <c r="F42" s="7" t="s">
        <v>53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33</v>
      </c>
      <c r="Q42" s="7" t="s">
        <v>107</v>
      </c>
      <c r="R42" s="7"/>
    </row>
    <row r="43" customFormat="false" ht="22.35" hidden="false" customHeight="false" outlineLevel="0" collapsed="false">
      <c r="A43" s="6" t="n">
        <v>39</v>
      </c>
      <c r="B43" s="7" t="s">
        <v>108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109</v>
      </c>
      <c r="R43" s="7" t="s">
        <v>26</v>
      </c>
    </row>
    <row r="44" customFormat="false" ht="22.35" hidden="false" customHeight="false" outlineLevel="0" collapsed="false">
      <c r="A44" s="6" t="n">
        <v>40</v>
      </c>
      <c r="B44" s="7" t="s">
        <v>110</v>
      </c>
      <c r="C44" s="6" t="s">
        <v>111</v>
      </c>
      <c r="D44" s="6" t="n">
        <v>3</v>
      </c>
      <c r="E44" s="8" t="n">
        <v>79300</v>
      </c>
      <c r="F44" s="7" t="s">
        <v>111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33</v>
      </c>
      <c r="Q44" s="7" t="s">
        <v>112</v>
      </c>
      <c r="R44" s="7"/>
    </row>
    <row r="45" customFormat="false" ht="32.8" hidden="false" customHeight="false" outlineLevel="0" collapsed="false">
      <c r="A45" s="6" t="n">
        <v>41</v>
      </c>
      <c r="B45" s="7" t="s">
        <v>113</v>
      </c>
      <c r="C45" s="6" t="s">
        <v>111</v>
      </c>
      <c r="D45" s="6" t="n">
        <v>3</v>
      </c>
      <c r="E45" s="8" t="n">
        <v>128700</v>
      </c>
      <c r="F45" s="7" t="s">
        <v>111</v>
      </c>
      <c r="G45" s="9" t="n">
        <v>114345</v>
      </c>
      <c r="H45" s="9" t="n">
        <v>114345</v>
      </c>
      <c r="I45" s="10" t="n">
        <f aca="false">IF(E45=0,0,(E45-H45)/E45)</f>
        <v>0.111538461538462</v>
      </c>
      <c r="J45" s="6" t="str">
        <f aca="false">IF(E45&lt;G45,"LOSS",IF(E45&lt;H45*1.1,"THIN / RISK",IF(E45&gt;H45*1.8,"OVERPRICED?","OK")))</f>
        <v>OK</v>
      </c>
      <c r="K45" s="8" t="n">
        <f aca="false">IF(J45="OVERPRICED?",ROUND(H45*1.35,-1),MAX(E45,ROUND(H45*(1+$E$3),-1)))</f>
        <v>131500</v>
      </c>
      <c r="L45" s="8" t="n">
        <f aca="false">D45*E45</f>
        <v>386100</v>
      </c>
      <c r="M45" s="8" t="n">
        <f aca="false">D45*K45</f>
        <v>394500</v>
      </c>
      <c r="N45" s="8" t="n">
        <f aca="false">D45*H45</f>
        <v>343035</v>
      </c>
      <c r="O45" s="6" t="str">
        <f aca="false">IF(ISNUMBER(SEARCH(C45,F45)),"","YES")</f>
        <v/>
      </c>
      <c r="P45" s="6" t="s">
        <v>33</v>
      </c>
      <c r="Q45" s="7" t="s">
        <v>114</v>
      </c>
      <c r="R45" s="7"/>
    </row>
    <row r="46" customFormat="false" ht="22.35" hidden="false" customHeight="false" outlineLevel="0" collapsed="false">
      <c r="A46" s="6" t="n">
        <v>42</v>
      </c>
      <c r="B46" s="7" t="s">
        <v>115</v>
      </c>
      <c r="C46" s="6" t="s">
        <v>111</v>
      </c>
      <c r="D46" s="6" t="n">
        <v>2</v>
      </c>
      <c r="E46" s="8" t="n">
        <v>106600</v>
      </c>
      <c r="F46" s="7" t="s">
        <v>111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33</v>
      </c>
      <c r="Q46" s="7" t="s">
        <v>116</v>
      </c>
      <c r="R46" s="7"/>
    </row>
    <row r="47" customFormat="false" ht="32.8" hidden="false" customHeight="false" outlineLevel="0" collapsed="false">
      <c r="A47" s="6" t="n">
        <v>43</v>
      </c>
      <c r="B47" s="7" t="s">
        <v>117</v>
      </c>
      <c r="C47" s="6" t="s">
        <v>28</v>
      </c>
      <c r="D47" s="6" t="n">
        <v>4</v>
      </c>
      <c r="E47" s="8" t="n">
        <v>1560</v>
      </c>
      <c r="F47" s="7" t="s">
        <v>118</v>
      </c>
      <c r="G47" s="9" t="n">
        <v>5955</v>
      </c>
      <c r="H47" s="9" t="n">
        <v>5955</v>
      </c>
      <c r="I47" s="10" t="n">
        <f aca="false">IF(E47=0,0,(E47-H47)/E47)</f>
        <v>-2.81730769230769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6850</v>
      </c>
      <c r="L47" s="8" t="n">
        <f aca="false">D47*E47</f>
        <v>6240</v>
      </c>
      <c r="M47" s="8" t="n">
        <f aca="false">D47*K47</f>
        <v>27400</v>
      </c>
      <c r="N47" s="8" t="n">
        <f aca="false">D47*H47</f>
        <v>23820</v>
      </c>
      <c r="O47" s="6" t="str">
        <f aca="false">IF(ISNUMBER(SEARCH(C47,F47)),"","YES")</f>
        <v>YES</v>
      </c>
      <c r="P47" s="6" t="s">
        <v>33</v>
      </c>
      <c r="Q47" s="7" t="s">
        <v>119</v>
      </c>
      <c r="R47" s="7"/>
    </row>
    <row r="48" customFormat="false" ht="15" hidden="false" customHeight="false" outlineLevel="0" collapsed="false">
      <c r="A48" s="6" t="n">
        <v>44</v>
      </c>
      <c r="B48" s="7" t="s">
        <v>120</v>
      </c>
      <c r="C48" s="6" t="s">
        <v>28</v>
      </c>
      <c r="D48" s="6" t="n">
        <v>4</v>
      </c>
      <c r="E48" s="8" t="n">
        <v>1950</v>
      </c>
      <c r="F48" s="7" t="s">
        <v>77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33</v>
      </c>
      <c r="Q48" s="7" t="s">
        <v>121</v>
      </c>
      <c r="R48" s="7"/>
    </row>
    <row r="49" customFormat="false" ht="22.35" hidden="false" customHeight="false" outlineLevel="0" collapsed="false">
      <c r="A49" s="6" t="n">
        <v>45</v>
      </c>
      <c r="B49" s="7" t="s">
        <v>122</v>
      </c>
      <c r="C49" s="6" t="s">
        <v>28</v>
      </c>
      <c r="D49" s="6" t="n">
        <v>4</v>
      </c>
      <c r="E49" s="8" t="n">
        <v>2210</v>
      </c>
      <c r="F49" s="7" t="s">
        <v>77</v>
      </c>
      <c r="G49" s="9" t="n">
        <v>1960</v>
      </c>
      <c r="H49" s="9" t="n">
        <v>1960</v>
      </c>
      <c r="I49" s="10" t="n">
        <f aca="false">IF(E49=0,0,(E49-H49)/E49)</f>
        <v>0.113122171945701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2250</v>
      </c>
      <c r="L49" s="8" t="n">
        <f aca="false">D49*E49</f>
        <v>8840</v>
      </c>
      <c r="M49" s="8" t="n">
        <f aca="false">D49*K49</f>
        <v>9000</v>
      </c>
      <c r="N49" s="8" t="n">
        <f aca="false">D49*H49</f>
        <v>7840</v>
      </c>
      <c r="O49" s="6" t="str">
        <f aca="false">IF(ISNUMBER(SEARCH(C49,F49)),"","YES")</f>
        <v>YES</v>
      </c>
      <c r="P49" s="6" t="s">
        <v>33</v>
      </c>
      <c r="Q49" s="7" t="s">
        <v>123</v>
      </c>
      <c r="R49" s="7"/>
    </row>
    <row r="50" customFormat="false" ht="32.8" hidden="false" customHeight="false" outlineLevel="0" collapsed="false">
      <c r="A50" s="6" t="n">
        <v>47</v>
      </c>
      <c r="B50" s="7" t="s">
        <v>124</v>
      </c>
      <c r="C50" s="6" t="s">
        <v>28</v>
      </c>
      <c r="D50" s="6" t="n">
        <v>3</v>
      </c>
      <c r="E50" s="8" t="n">
        <v>13000</v>
      </c>
      <c r="F50" s="7" t="s">
        <v>77</v>
      </c>
      <c r="G50" s="9" t="n">
        <v>6255</v>
      </c>
      <c r="H50" s="9" t="n">
        <v>6255</v>
      </c>
      <c r="I50" s="10" t="n">
        <f aca="false">IF(E50=0,0,(E50-H50)/E50)</f>
        <v>0.518846153846154</v>
      </c>
      <c r="J50" s="6" t="str">
        <f aca="false">IF(E50&lt;G50,"LOSS",IF(E50&lt;H50*1.1,"THIN / RISK",IF(E50&gt;H50*1.8,"OVERPRICED?","OK")))</f>
        <v>OVERPRICED?</v>
      </c>
      <c r="K50" s="8" t="n">
        <f aca="false">IF(J50="OVERPRICED?",ROUND(H50*1.35,-1),MAX(E50,ROUND(H50*(1+$E$3),-1)))</f>
        <v>8440</v>
      </c>
      <c r="L50" s="8" t="n">
        <f aca="false">D50*E50</f>
        <v>39000</v>
      </c>
      <c r="M50" s="8" t="n">
        <f aca="false">D50*K50</f>
        <v>25320</v>
      </c>
      <c r="N50" s="8" t="n">
        <f aca="false">D50*H50</f>
        <v>18765</v>
      </c>
      <c r="O50" s="6" t="str">
        <f aca="false">IF(ISNUMBER(SEARCH(C50,F50)),"","YES")</f>
        <v>YES</v>
      </c>
      <c r="P50" s="6" t="s">
        <v>24</v>
      </c>
      <c r="Q50" s="7" t="s">
        <v>125</v>
      </c>
      <c r="R50" s="7" t="s">
        <v>26</v>
      </c>
    </row>
    <row r="51" customFormat="false" ht="22.35" hidden="false" customHeight="false" outlineLevel="0" collapsed="false">
      <c r="A51" s="6" t="n">
        <v>48</v>
      </c>
      <c r="B51" s="7" t="s">
        <v>126</v>
      </c>
      <c r="C51" s="6" t="s">
        <v>28</v>
      </c>
      <c r="D51" s="6" t="n">
        <v>2</v>
      </c>
      <c r="E51" s="8" t="n">
        <v>15600</v>
      </c>
      <c r="F51" s="7" t="s">
        <v>39</v>
      </c>
      <c r="G51" s="9" t="n">
        <v>19686</v>
      </c>
      <c r="H51" s="9" t="n">
        <v>19686</v>
      </c>
      <c r="I51" s="10" t="n">
        <f aca="false">IF(E51=0,0,(E51-H51)/E51)</f>
        <v>-0.261923076923077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22640</v>
      </c>
      <c r="L51" s="8" t="n">
        <f aca="false">D51*E51</f>
        <v>31200</v>
      </c>
      <c r="M51" s="8" t="n">
        <f aca="false">D51*K51</f>
        <v>45280</v>
      </c>
      <c r="N51" s="8" t="n">
        <f aca="false">D51*H51</f>
        <v>39372</v>
      </c>
      <c r="O51" s="6" t="str">
        <f aca="false">IF(ISNUMBER(SEARCH(C51,F51)),"","YES")</f>
        <v>YES</v>
      </c>
      <c r="P51" s="6" t="s">
        <v>33</v>
      </c>
      <c r="Q51" s="7" t="s">
        <v>127</v>
      </c>
      <c r="R51" s="7"/>
    </row>
    <row r="52" customFormat="false" ht="32.8" hidden="false" customHeight="false" outlineLevel="0" collapsed="false">
      <c r="A52" s="6" t="n">
        <v>49</v>
      </c>
      <c r="B52" s="7" t="s">
        <v>128</v>
      </c>
      <c r="C52" s="6" t="s">
        <v>28</v>
      </c>
      <c r="D52" s="6" t="n">
        <v>1</v>
      </c>
      <c r="E52" s="8" t="n">
        <v>20800</v>
      </c>
      <c r="F52" s="7" t="s">
        <v>39</v>
      </c>
      <c r="G52" s="9" t="n">
        <v>19686</v>
      </c>
      <c r="H52" s="9" t="n">
        <v>19686</v>
      </c>
      <c r="I52" s="10" t="n">
        <f aca="false">IF(E52=0,0,(E52-H52)/E52)</f>
        <v>0.0535576923076923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22640</v>
      </c>
      <c r="L52" s="8" t="n">
        <f aca="false">D52*E52</f>
        <v>20800</v>
      </c>
      <c r="M52" s="8" t="n">
        <f aca="false">D52*K52</f>
        <v>22640</v>
      </c>
      <c r="N52" s="8" t="n">
        <f aca="false">D52*H52</f>
        <v>19686</v>
      </c>
      <c r="O52" s="6" t="str">
        <f aca="false">IF(ISNUMBER(SEARCH(C52,F52)),"","YES")</f>
        <v>YES</v>
      </c>
      <c r="P52" s="6" t="s">
        <v>24</v>
      </c>
      <c r="Q52" s="7" t="s">
        <v>129</v>
      </c>
      <c r="R52" s="7" t="s">
        <v>26</v>
      </c>
    </row>
    <row r="53" customFormat="false" ht="32.8" hidden="false" customHeight="false" outlineLevel="0" collapsed="false">
      <c r="A53" s="6" t="n">
        <v>50</v>
      </c>
      <c r="B53" s="7" t="s">
        <v>130</v>
      </c>
      <c r="C53" s="6" t="s">
        <v>28</v>
      </c>
      <c r="D53" s="6" t="n">
        <v>1</v>
      </c>
      <c r="E53" s="8" t="n">
        <v>28600</v>
      </c>
      <c r="F53" s="7" t="s">
        <v>39</v>
      </c>
      <c r="G53" s="9" t="n">
        <v>31019</v>
      </c>
      <c r="H53" s="9" t="n">
        <v>31019</v>
      </c>
      <c r="I53" s="10" t="n">
        <f aca="false">IF(E53=0,0,(E53-H53)/E53)</f>
        <v>-0.0845804195804196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35670</v>
      </c>
      <c r="L53" s="8" t="n">
        <f aca="false">D53*E53</f>
        <v>28600</v>
      </c>
      <c r="M53" s="8" t="n">
        <f aca="false">D53*K53</f>
        <v>35670</v>
      </c>
      <c r="N53" s="8" t="n">
        <f aca="false">D53*H53</f>
        <v>31019</v>
      </c>
      <c r="O53" s="6" t="str">
        <f aca="false">IF(ISNUMBER(SEARCH(C53,F53)),"","YES")</f>
        <v>YES</v>
      </c>
      <c r="P53" s="6" t="s">
        <v>24</v>
      </c>
      <c r="Q53" s="7" t="s">
        <v>131</v>
      </c>
      <c r="R53" s="7" t="s">
        <v>26</v>
      </c>
    </row>
    <row r="54" customFormat="false" ht="22.35" hidden="false" customHeight="false" outlineLevel="0" collapsed="false">
      <c r="A54" s="6" t="n">
        <v>51</v>
      </c>
      <c r="B54" s="7" t="s">
        <v>132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11340</v>
      </c>
      <c r="H54" s="9" t="n">
        <v>11340</v>
      </c>
      <c r="I54" s="10" t="n">
        <f aca="false">IF(E54=0,0,(E54-H54)/E54)</f>
        <v>0.651076923076923</v>
      </c>
      <c r="J54" s="6" t="str">
        <f aca="false">IF(E54&lt;G54,"LOSS",IF(E54&lt;H54*1.1,"THIN / RISK",IF(E54&gt;H54*1.8,"OVERPRICED?","OK")))</f>
        <v>OVERPRICED?</v>
      </c>
      <c r="K54" s="8" t="n">
        <f aca="false">IF(J54="OVERPRICED?",ROUND(H54*1.35,-1),MAX(E54,ROUND(H54*(1+$E$3),-1)))</f>
        <v>15310</v>
      </c>
      <c r="L54" s="8" t="n">
        <f aca="false">D54*E54</f>
        <v>32500</v>
      </c>
      <c r="M54" s="8" t="n">
        <f aca="false">D54*K54</f>
        <v>15310</v>
      </c>
      <c r="N54" s="8" t="n">
        <f aca="false">D54*H54</f>
        <v>11340</v>
      </c>
      <c r="O54" s="6" t="str">
        <f aca="false">IF(ISNUMBER(SEARCH(C54,F54)),"","YES")</f>
        <v/>
      </c>
      <c r="P54" s="6" t="s">
        <v>24</v>
      </c>
      <c r="Q54" s="7" t="s">
        <v>133</v>
      </c>
      <c r="R54" s="7" t="s">
        <v>26</v>
      </c>
    </row>
    <row r="55" customFormat="false" ht="22.35" hidden="false" customHeight="false" outlineLevel="0" collapsed="false">
      <c r="A55" s="6" t="n">
        <v>52</v>
      </c>
      <c r="B55" s="7" t="s">
        <v>134</v>
      </c>
      <c r="C55" s="6" t="s">
        <v>28</v>
      </c>
      <c r="D55" s="6" t="n">
        <v>2</v>
      </c>
      <c r="E55" s="8" t="n">
        <v>18200</v>
      </c>
      <c r="F55" s="7" t="s">
        <v>77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33</v>
      </c>
      <c r="Q55" s="7" t="s">
        <v>135</v>
      </c>
      <c r="R55" s="7"/>
    </row>
    <row r="56" customFormat="false" ht="15" hidden="false" customHeight="false" outlineLevel="0" collapsed="false">
      <c r="A56" s="6" t="n">
        <v>53</v>
      </c>
      <c r="B56" s="7" t="s">
        <v>136</v>
      </c>
      <c r="C56" s="6" t="s">
        <v>28</v>
      </c>
      <c r="D56" s="6" t="n">
        <v>1</v>
      </c>
      <c r="E56" s="8" t="n">
        <v>23400</v>
      </c>
      <c r="F56" s="7" t="s">
        <v>77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33</v>
      </c>
      <c r="Q56" s="7" t="s">
        <v>137</v>
      </c>
      <c r="R56" s="7"/>
    </row>
    <row r="57" customFormat="false" ht="22.35" hidden="false" customHeight="false" outlineLevel="0" collapsed="false">
      <c r="A57" s="6" t="n">
        <v>54</v>
      </c>
      <c r="B57" s="7" t="s">
        <v>138</v>
      </c>
      <c r="C57" s="6" t="s">
        <v>111</v>
      </c>
      <c r="D57" s="6" t="n">
        <v>2</v>
      </c>
      <c r="E57" s="8" t="n">
        <v>400946</v>
      </c>
      <c r="F57" s="7" t="s">
        <v>111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33</v>
      </c>
      <c r="Q57" s="7" t="s">
        <v>139</v>
      </c>
      <c r="R57" s="7"/>
    </row>
    <row r="58" customFormat="false" ht="32.8" hidden="false" customHeight="false" outlineLevel="0" collapsed="false">
      <c r="A58" s="6" t="n">
        <v>55</v>
      </c>
      <c r="B58" s="7" t="s">
        <v>140</v>
      </c>
      <c r="C58" s="6" t="s">
        <v>28</v>
      </c>
      <c r="D58" s="6" t="n">
        <v>2</v>
      </c>
      <c r="E58" s="8" t="n">
        <v>15600</v>
      </c>
      <c r="F58" s="7" t="s">
        <v>39</v>
      </c>
      <c r="G58" s="9" t="n">
        <v>67000</v>
      </c>
      <c r="H58" s="9" t="n">
        <v>67000</v>
      </c>
      <c r="I58" s="10" t="n">
        <f aca="false">IF(E58=0,0,(E58-H58)/E58)</f>
        <v>-3.29487179487179</v>
      </c>
      <c r="J58" s="6" t="str">
        <f aca="false">IF(E58&lt;G58,"LOSS",IF(E58&lt;H58*1.1,"THIN / RISK",IF(E58&gt;H58*1.8,"OVERPRICED?","OK")))</f>
        <v>LOSS</v>
      </c>
      <c r="K58" s="8" t="n">
        <f aca="false">IF(J58="OVERPRICED?",ROUND(H58*1.35,-1),MAX(E58,ROUND(H58*(1+$E$3),-1)))</f>
        <v>77050</v>
      </c>
      <c r="L58" s="8" t="n">
        <f aca="false">D58*E58</f>
        <v>31200</v>
      </c>
      <c r="M58" s="8" t="n">
        <f aca="false">D58*K58</f>
        <v>154100</v>
      </c>
      <c r="N58" s="8" t="n">
        <f aca="false">D58*H58</f>
        <v>134000</v>
      </c>
      <c r="O58" s="6" t="str">
        <f aca="false">IF(ISNUMBER(SEARCH(C58,F58)),"","YES")</f>
        <v>YES</v>
      </c>
      <c r="P58" s="6" t="s">
        <v>24</v>
      </c>
      <c r="Q58" s="7" t="s">
        <v>141</v>
      </c>
      <c r="R58" s="7" t="s">
        <v>26</v>
      </c>
    </row>
    <row r="59" customFormat="false" ht="32.8" hidden="false" customHeight="false" outlineLevel="0" collapsed="false">
      <c r="A59" s="6" t="n">
        <v>56</v>
      </c>
      <c r="B59" s="7" t="s">
        <v>142</v>
      </c>
      <c r="C59" s="6" t="s">
        <v>28</v>
      </c>
      <c r="D59" s="6" t="n">
        <v>1</v>
      </c>
      <c r="E59" s="8" t="n">
        <v>10400</v>
      </c>
      <c r="F59" s="7" t="s">
        <v>77</v>
      </c>
      <c r="G59" s="9" t="n">
        <v>20921</v>
      </c>
      <c r="H59" s="9" t="n">
        <v>20921</v>
      </c>
      <c r="I59" s="10" t="n">
        <f aca="false">IF(E59=0,0,(E59-H59)/E59)</f>
        <v>-1.01163461538462</v>
      </c>
      <c r="J59" s="6" t="str">
        <f aca="false">IF(E59&lt;G59,"LOSS",IF(E59&lt;H59*1.1,"THIN / RISK",IF(E59&gt;H59*1.8,"OVERPRICED?","OK")))</f>
        <v>LOSS</v>
      </c>
      <c r="K59" s="8" t="n">
        <f aca="false">IF(J59="OVERPRICED?",ROUND(H59*1.35,-1),MAX(E59,ROUND(H59*(1+$E$3),-1)))</f>
        <v>24060</v>
      </c>
      <c r="L59" s="8" t="n">
        <f aca="false">D59*E59</f>
        <v>10400</v>
      </c>
      <c r="M59" s="8" t="n">
        <f aca="false">D59*K59</f>
        <v>24060</v>
      </c>
      <c r="N59" s="8" t="n">
        <f aca="false">D59*H59</f>
        <v>20921</v>
      </c>
      <c r="O59" s="6" t="str">
        <f aca="false">IF(ISNUMBER(SEARCH(C59,F59)),"","YES")</f>
        <v>YES</v>
      </c>
      <c r="P59" s="6" t="s">
        <v>24</v>
      </c>
      <c r="Q59" s="7" t="s">
        <v>143</v>
      </c>
      <c r="R59" s="7" t="s">
        <v>26</v>
      </c>
    </row>
    <row r="60" customFormat="false" ht="15" hidden="false" customHeight="false" outlineLevel="0" collapsed="false">
      <c r="A60" s="6" t="n">
        <v>57</v>
      </c>
      <c r="B60" s="7" t="s">
        <v>144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33</v>
      </c>
      <c r="Q60" s="7" t="s">
        <v>145</v>
      </c>
      <c r="R60" s="7"/>
    </row>
    <row r="61" customFormat="false" ht="32.8" hidden="false" customHeight="false" outlineLevel="0" collapsed="false">
      <c r="A61" s="6" t="n">
        <v>58</v>
      </c>
      <c r="B61" s="7" t="s">
        <v>146</v>
      </c>
      <c r="C61" s="6" t="s">
        <v>28</v>
      </c>
      <c r="D61" s="6" t="n">
        <v>12</v>
      </c>
      <c r="E61" s="8" t="n">
        <v>715</v>
      </c>
      <c r="F61" s="7" t="s">
        <v>39</v>
      </c>
      <c r="G61" s="9" t="n">
        <v>4583</v>
      </c>
      <c r="H61" s="9" t="n">
        <v>4583</v>
      </c>
      <c r="I61" s="10" t="n">
        <f aca="false">IF(E61=0,0,(E61-H61)/E61)</f>
        <v>-5.40979020979021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5270</v>
      </c>
      <c r="L61" s="8" t="n">
        <f aca="false">D61*E61</f>
        <v>8580</v>
      </c>
      <c r="M61" s="8" t="n">
        <f aca="false">D61*K61</f>
        <v>63240</v>
      </c>
      <c r="N61" s="8" t="n">
        <f aca="false">D61*H61</f>
        <v>54996</v>
      </c>
      <c r="O61" s="6" t="str">
        <f aca="false">IF(ISNUMBER(SEARCH(C61,F61)),"","YES")</f>
        <v>YES</v>
      </c>
      <c r="P61" s="6" t="s">
        <v>24</v>
      </c>
      <c r="Q61" s="7" t="s">
        <v>147</v>
      </c>
      <c r="R61" s="7" t="s">
        <v>26</v>
      </c>
    </row>
    <row r="62" customFormat="false" ht="22.35" hidden="false" customHeight="false" outlineLevel="0" collapsed="false">
      <c r="A62" s="6" t="n">
        <v>59</v>
      </c>
      <c r="B62" s="7" t="s">
        <v>148</v>
      </c>
      <c r="C62" s="6" t="s">
        <v>28</v>
      </c>
      <c r="D62" s="6" t="n">
        <v>12</v>
      </c>
      <c r="E62" s="8" t="n">
        <v>1950</v>
      </c>
      <c r="F62" s="7" t="s">
        <v>39</v>
      </c>
      <c r="G62" s="9" t="n">
        <v>4294</v>
      </c>
      <c r="H62" s="9" t="n">
        <v>4294</v>
      </c>
      <c r="I62" s="10" t="n">
        <f aca="false">IF(E62=0,0,(E62-H62)/E62)</f>
        <v>-1.20205128205128</v>
      </c>
      <c r="J62" s="6" t="str">
        <f aca="false">IF(E62&lt;G62,"LOSS",IF(E62&lt;H62*1.1,"THIN / RISK",IF(E62&gt;H62*1.8,"OVERPRICED?","OK")))</f>
        <v>LOSS</v>
      </c>
      <c r="K62" s="8" t="n">
        <f aca="false">IF(J62="OVERPRICED?",ROUND(H62*1.35,-1),MAX(E62,ROUND(H62*(1+$E$3),-1)))</f>
        <v>4940</v>
      </c>
      <c r="L62" s="8" t="n">
        <f aca="false">D62*E62</f>
        <v>23400</v>
      </c>
      <c r="M62" s="8" t="n">
        <f aca="false">D62*K62</f>
        <v>59280</v>
      </c>
      <c r="N62" s="8" t="n">
        <f aca="false">D62*H62</f>
        <v>51528</v>
      </c>
      <c r="O62" s="6" t="str">
        <f aca="false">IF(ISNUMBER(SEARCH(C62,F62)),"","YES")</f>
        <v>YES</v>
      </c>
      <c r="P62" s="6" t="s">
        <v>33</v>
      </c>
      <c r="Q62" s="7" t="s">
        <v>149</v>
      </c>
      <c r="R62" s="7"/>
    </row>
    <row r="63" customFormat="false" ht="22.35" hidden="false" customHeight="false" outlineLevel="0" collapsed="false">
      <c r="A63" s="6" t="n">
        <v>60</v>
      </c>
      <c r="B63" s="7" t="s">
        <v>150</v>
      </c>
      <c r="C63" s="6" t="s">
        <v>28</v>
      </c>
      <c r="D63" s="6" t="n">
        <v>2</v>
      </c>
      <c r="E63" s="8" t="n">
        <v>9100</v>
      </c>
      <c r="F63" s="7" t="s">
        <v>42</v>
      </c>
      <c r="G63" s="9" t="n">
        <v>5250</v>
      </c>
      <c r="H63" s="9" t="n">
        <v>5250</v>
      </c>
      <c r="I63" s="10" t="n">
        <f aca="false">IF(E63=0,0,(E63-H63)/E63)</f>
        <v>0.423076923076923</v>
      </c>
      <c r="J63" s="6" t="str">
        <f aca="false">IF(E63&lt;G63,"LOSS",IF(E63&lt;H63*1.1,"THIN / RISK",IF(E63&gt;H63*1.8,"OVERPRICED?","OK")))</f>
        <v>OK</v>
      </c>
      <c r="K63" s="8" t="n">
        <f aca="false">IF(J63="OVERPRICED?",ROUND(H63*1.35,-1),MAX(E63,ROUND(H63*(1+$E$3),-1)))</f>
        <v>9100</v>
      </c>
      <c r="L63" s="8" t="n">
        <f aca="false">D63*E63</f>
        <v>18200</v>
      </c>
      <c r="M63" s="8" t="n">
        <f aca="false">D63*K63</f>
        <v>18200</v>
      </c>
      <c r="N63" s="8" t="n">
        <f aca="false">D63*H63</f>
        <v>10500</v>
      </c>
      <c r="O63" s="6" t="str">
        <f aca="false">IF(ISNUMBER(SEARCH(C63,F63)),"","YES")</f>
        <v>YES</v>
      </c>
      <c r="P63" s="6" t="s">
        <v>24</v>
      </c>
      <c r="Q63" s="7" t="s">
        <v>151</v>
      </c>
      <c r="R63" s="7" t="s">
        <v>26</v>
      </c>
    </row>
    <row r="64" customFormat="false" ht="22.35" hidden="false" customHeight="false" outlineLevel="0" collapsed="false">
      <c r="A64" s="6" t="n">
        <v>61</v>
      </c>
      <c r="B64" s="7" t="s">
        <v>152</v>
      </c>
      <c r="C64" s="6" t="s">
        <v>28</v>
      </c>
      <c r="D64" s="6" t="n">
        <v>2</v>
      </c>
      <c r="E64" s="8" t="n">
        <v>5850</v>
      </c>
      <c r="F64" s="7" t="s">
        <v>153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33</v>
      </c>
      <c r="Q64" s="7" t="s">
        <v>154</v>
      </c>
      <c r="R64" s="7"/>
    </row>
    <row r="65" customFormat="false" ht="22.35" hidden="false" customHeight="false" outlineLevel="0" collapsed="false">
      <c r="A65" s="6" t="n">
        <v>62</v>
      </c>
      <c r="B65" s="7" t="s">
        <v>155</v>
      </c>
      <c r="C65" s="6" t="s">
        <v>28</v>
      </c>
      <c r="D65" s="6" t="n">
        <v>3</v>
      </c>
      <c r="E65" s="8" t="n">
        <v>2600</v>
      </c>
      <c r="F65" s="7" t="s">
        <v>153</v>
      </c>
      <c r="G65" s="9" t="n">
        <v>3499</v>
      </c>
      <c r="H65" s="9" t="n">
        <v>3499</v>
      </c>
      <c r="I65" s="10" t="n">
        <f aca="false">IF(E65=0,0,(E65-H65)/E65)</f>
        <v>-0.345769230769231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4020</v>
      </c>
      <c r="L65" s="8" t="n">
        <f aca="false">D65*E65</f>
        <v>7800</v>
      </c>
      <c r="M65" s="8" t="n">
        <f aca="false">D65*K65</f>
        <v>12060</v>
      </c>
      <c r="N65" s="8" t="n">
        <f aca="false">D65*H65</f>
        <v>10497</v>
      </c>
      <c r="O65" s="6" t="str">
        <f aca="false">IF(ISNUMBER(SEARCH(C65,F65)),"","YES")</f>
        <v>YES</v>
      </c>
      <c r="P65" s="6" t="s">
        <v>24</v>
      </c>
      <c r="Q65" s="7" t="s">
        <v>156</v>
      </c>
      <c r="R65" s="7" t="s">
        <v>26</v>
      </c>
    </row>
    <row r="66" customFormat="false" ht="22.35" hidden="false" customHeight="false" outlineLevel="0" collapsed="false">
      <c r="A66" s="6" t="n">
        <v>63</v>
      </c>
      <c r="B66" s="7" t="s">
        <v>157</v>
      </c>
      <c r="C66" s="6" t="s">
        <v>28</v>
      </c>
      <c r="D66" s="6" t="n">
        <v>1</v>
      </c>
      <c r="E66" s="8" t="n">
        <v>5551</v>
      </c>
      <c r="F66" s="7" t="s">
        <v>153</v>
      </c>
      <c r="G66" s="9" t="n">
        <v>4630</v>
      </c>
      <c r="H66" s="9" t="n">
        <v>4630</v>
      </c>
      <c r="I66" s="10" t="n">
        <f aca="false">IF(E66=0,0,(E66-H66)/E66)</f>
        <v>0.165916051161953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4630</v>
      </c>
      <c r="O66" s="6" t="str">
        <f aca="false">IF(ISNUMBER(SEARCH(C66,F66)),"","YES")</f>
        <v>YES</v>
      </c>
      <c r="P66" s="6" t="s">
        <v>33</v>
      </c>
      <c r="Q66" s="7" t="s">
        <v>158</v>
      </c>
      <c r="R66" s="7"/>
    </row>
    <row r="67" customFormat="false" ht="15" hidden="false" customHeight="false" outlineLevel="0" collapsed="false">
      <c r="A67" s="6" t="n">
        <v>64</v>
      </c>
      <c r="B67" s="7" t="s">
        <v>159</v>
      </c>
      <c r="C67" s="6" t="s">
        <v>28</v>
      </c>
      <c r="D67" s="6" t="n">
        <v>3</v>
      </c>
      <c r="E67" s="8" t="n">
        <v>1560</v>
      </c>
      <c r="F67" s="7" t="s">
        <v>77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33</v>
      </c>
      <c r="Q67" s="7" t="s">
        <v>160</v>
      </c>
      <c r="R67" s="7"/>
    </row>
    <row r="68" customFormat="false" ht="15" hidden="false" customHeight="false" outlineLevel="0" collapsed="false">
      <c r="A68" s="6" t="n">
        <v>65</v>
      </c>
      <c r="B68" s="7" t="s">
        <v>161</v>
      </c>
      <c r="C68" s="6" t="s">
        <v>28</v>
      </c>
      <c r="D68" s="6" t="n">
        <v>3</v>
      </c>
      <c r="E68" s="8" t="n">
        <v>1560</v>
      </c>
      <c r="F68" s="7" t="s">
        <v>77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33</v>
      </c>
      <c r="Q68" s="7" t="s">
        <v>160</v>
      </c>
      <c r="R68" s="7"/>
    </row>
    <row r="69" customFormat="false" ht="22.35" hidden="false" customHeight="false" outlineLevel="0" collapsed="false">
      <c r="A69" s="6" t="n">
        <v>66</v>
      </c>
      <c r="B69" s="7" t="s">
        <v>162</v>
      </c>
      <c r="C69" s="6" t="s">
        <v>28</v>
      </c>
      <c r="D69" s="6" t="n">
        <v>2</v>
      </c>
      <c r="E69" s="8" t="n">
        <v>11700</v>
      </c>
      <c r="F69" s="7" t="s">
        <v>39</v>
      </c>
      <c r="G69" s="9" t="n">
        <v>17494</v>
      </c>
      <c r="H69" s="9" t="n">
        <v>17494</v>
      </c>
      <c r="I69" s="10" t="n">
        <f aca="false">IF(E69=0,0,(E69-H69)/E69)</f>
        <v>-0.495213675213675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20120</v>
      </c>
      <c r="L69" s="8" t="n">
        <f aca="false">D69*E69</f>
        <v>23400</v>
      </c>
      <c r="M69" s="8" t="n">
        <f aca="false">D69*K69</f>
        <v>40240</v>
      </c>
      <c r="N69" s="8" t="n">
        <f aca="false">D69*H69</f>
        <v>34988</v>
      </c>
      <c r="O69" s="6" t="str">
        <f aca="false">IF(ISNUMBER(SEARCH(C69,F69)),"","YES")</f>
        <v>YES</v>
      </c>
      <c r="P69" s="6" t="s">
        <v>24</v>
      </c>
      <c r="Q69" s="7" t="s">
        <v>163</v>
      </c>
      <c r="R69" s="7" t="s">
        <v>26</v>
      </c>
    </row>
    <row r="70" customFormat="false" ht="22.35" hidden="false" customHeight="false" outlineLevel="0" collapsed="false">
      <c r="A70" s="6" t="n">
        <v>67</v>
      </c>
      <c r="B70" s="7" t="s">
        <v>164</v>
      </c>
      <c r="C70" s="6" t="s">
        <v>28</v>
      </c>
      <c r="D70" s="6" t="n">
        <v>2</v>
      </c>
      <c r="E70" s="8" t="n">
        <v>9750</v>
      </c>
      <c r="F70" s="7" t="s">
        <v>39</v>
      </c>
      <c r="G70" s="9" t="n">
        <v>17494</v>
      </c>
      <c r="H70" s="9" t="n">
        <v>17494</v>
      </c>
      <c r="I70" s="10" t="n">
        <f aca="false">IF(E70=0,0,(E70-H70)/E70)</f>
        <v>-0.79425641025641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20120</v>
      </c>
      <c r="L70" s="8" t="n">
        <f aca="false">D70*E70</f>
        <v>19500</v>
      </c>
      <c r="M70" s="8" t="n">
        <f aca="false">D70*K70</f>
        <v>40240</v>
      </c>
      <c r="N70" s="8" t="n">
        <f aca="false">D70*H70</f>
        <v>34988</v>
      </c>
      <c r="O70" s="6" t="str">
        <f aca="false">IF(ISNUMBER(SEARCH(C70,F70)),"","YES")</f>
        <v>YES</v>
      </c>
      <c r="P70" s="6" t="s">
        <v>33</v>
      </c>
      <c r="Q70" s="7" t="s">
        <v>165</v>
      </c>
      <c r="R70" s="7"/>
    </row>
    <row r="71" customFormat="false" ht="32.8" hidden="false" customHeight="false" outlineLevel="0" collapsed="false">
      <c r="A71" s="6" t="n">
        <v>69</v>
      </c>
      <c r="B71" s="7" t="s">
        <v>166</v>
      </c>
      <c r="C71" s="6" t="s">
        <v>28</v>
      </c>
      <c r="D71" s="6" t="n">
        <v>2</v>
      </c>
      <c r="E71" s="8" t="n">
        <v>23400</v>
      </c>
      <c r="F71" s="7" t="s">
        <v>167</v>
      </c>
      <c r="G71" s="9" t="n">
        <v>16156</v>
      </c>
      <c r="H71" s="9" t="n">
        <v>16156</v>
      </c>
      <c r="I71" s="10" t="n">
        <f aca="false">IF(E71=0,0,(E71-H71)/E71)</f>
        <v>0.30957264957265</v>
      </c>
      <c r="J71" s="6" t="str">
        <f aca="false">IF(E71&lt;G71,"LOSS",IF(E71&lt;H71*1.1,"THIN / RISK",IF(E71&gt;H71*1.8,"OVERPRICED?","OK")))</f>
        <v>OK</v>
      </c>
      <c r="K71" s="8" t="n">
        <f aca="false">IF(J71="OVERPRICED?",ROUND(H71*1.35,-1),MAX(E71,ROUND(H71*(1+$E$3),-1)))</f>
        <v>23400</v>
      </c>
      <c r="L71" s="8" t="n">
        <f aca="false">D71*E71</f>
        <v>46800</v>
      </c>
      <c r="M71" s="8" t="n">
        <f aca="false">D71*K71</f>
        <v>46800</v>
      </c>
      <c r="N71" s="8" t="n">
        <f aca="false">D71*H71</f>
        <v>32312</v>
      </c>
      <c r="O71" s="6" t="str">
        <f aca="false">IF(ISNUMBER(SEARCH(C71,F71)),"","YES")</f>
        <v>YES</v>
      </c>
      <c r="P71" s="6" t="s">
        <v>33</v>
      </c>
      <c r="Q71" s="7" t="s">
        <v>168</v>
      </c>
      <c r="R71" s="7"/>
    </row>
    <row r="72" customFormat="false" ht="22.35" hidden="false" customHeight="false" outlineLevel="0" collapsed="false">
      <c r="A72" s="6" t="n">
        <v>70</v>
      </c>
      <c r="B72" s="7" t="s">
        <v>169</v>
      </c>
      <c r="C72" s="6" t="s">
        <v>28</v>
      </c>
      <c r="D72" s="6" t="n">
        <v>1</v>
      </c>
      <c r="E72" s="8" t="n">
        <v>32500</v>
      </c>
      <c r="F72" s="7" t="s">
        <v>167</v>
      </c>
      <c r="G72" s="9" t="n">
        <v>11453</v>
      </c>
      <c r="H72" s="9" t="n">
        <v>11453</v>
      </c>
      <c r="I72" s="10" t="n">
        <f aca="false">IF(E72=0,0,(E72-H72)/E72)</f>
        <v>0.6476</v>
      </c>
      <c r="J72" s="6" t="str">
        <f aca="false">IF(E72&lt;G72,"LOSS",IF(E72&lt;H72*1.1,"THIN / RISK",IF(E72&gt;H72*1.8,"OVERPRICED?","OK")))</f>
        <v>OVERPRICED?</v>
      </c>
      <c r="K72" s="8" t="n">
        <f aca="false">IF(J72="OVERPRICED?",ROUND(H72*1.35,-1),MAX(E72,ROUND(H72*(1+$E$3),-1)))</f>
        <v>15460</v>
      </c>
      <c r="L72" s="8" t="n">
        <f aca="false">D72*E72</f>
        <v>32500</v>
      </c>
      <c r="M72" s="8" t="n">
        <f aca="false">D72*K72</f>
        <v>15460</v>
      </c>
      <c r="N72" s="8" t="n">
        <f aca="false">D72*H72</f>
        <v>11453</v>
      </c>
      <c r="O72" s="6" t="str">
        <f aca="false">IF(ISNUMBER(SEARCH(C72,F72)),"","YES")</f>
        <v>YES</v>
      </c>
      <c r="P72" s="6" t="s">
        <v>33</v>
      </c>
      <c r="Q72" s="7" t="s">
        <v>170</v>
      </c>
      <c r="R72" s="7"/>
    </row>
    <row r="73" customFormat="false" ht="22.35" hidden="false" customHeight="false" outlineLevel="0" collapsed="false">
      <c r="A73" s="6" t="n">
        <v>71</v>
      </c>
      <c r="B73" s="7" t="s">
        <v>171</v>
      </c>
      <c r="C73" s="6" t="s">
        <v>28</v>
      </c>
      <c r="D73" s="6" t="n">
        <v>1</v>
      </c>
      <c r="E73" s="8" t="n">
        <v>1105</v>
      </c>
      <c r="F73" s="7" t="s">
        <v>42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33</v>
      </c>
      <c r="Q73" s="7" t="s">
        <v>172</v>
      </c>
      <c r="R73" s="7"/>
    </row>
    <row r="74" customFormat="false" ht="22.35" hidden="false" customHeight="false" outlineLevel="0" collapsed="false">
      <c r="A74" s="6" t="n">
        <v>73</v>
      </c>
      <c r="B74" s="7" t="s">
        <v>173</v>
      </c>
      <c r="C74" s="6" t="s">
        <v>28</v>
      </c>
      <c r="D74" s="6" t="n">
        <v>1</v>
      </c>
      <c r="E74" s="8" t="n">
        <v>45500</v>
      </c>
      <c r="F74" s="7" t="s">
        <v>153</v>
      </c>
      <c r="G74" s="9" t="n">
        <v>22185</v>
      </c>
      <c r="H74" s="9" t="n">
        <v>22185</v>
      </c>
      <c r="I74" s="10" t="n">
        <f aca="false">IF(E74=0,0,(E74-H74)/E74)</f>
        <v>0.512417582417582</v>
      </c>
      <c r="J74" s="6" t="str">
        <f aca="false">IF(E74&lt;G74,"LOSS",IF(E74&lt;H74*1.1,"THIN / RISK",IF(E74&gt;H74*1.8,"OVERPRICED?","OK")))</f>
        <v>OVERPRICED?</v>
      </c>
      <c r="K74" s="8" t="n">
        <f aca="false">IF(J74="OVERPRICED?",ROUND(H74*1.35,-1),MAX(E74,ROUND(H74*(1+$E$3),-1)))</f>
        <v>29950</v>
      </c>
      <c r="L74" s="8" t="n">
        <f aca="false">D74*E74</f>
        <v>45500</v>
      </c>
      <c r="M74" s="8" t="n">
        <f aca="false">D74*K74</f>
        <v>29950</v>
      </c>
      <c r="N74" s="8" t="n">
        <f aca="false">D74*H74</f>
        <v>22185</v>
      </c>
      <c r="O74" s="6" t="str">
        <f aca="false">IF(ISNUMBER(SEARCH(C74,F74)),"","YES")</f>
        <v>YES</v>
      </c>
      <c r="P74" s="6" t="s">
        <v>24</v>
      </c>
      <c r="Q74" s="7" t="s">
        <v>174</v>
      </c>
      <c r="R74" s="7" t="s">
        <v>26</v>
      </c>
    </row>
    <row r="75" customFormat="false" ht="32.8" hidden="false" customHeight="false" outlineLevel="0" collapsed="false">
      <c r="A75" s="6" t="n">
        <v>74</v>
      </c>
      <c r="B75" s="7" t="s">
        <v>175</v>
      </c>
      <c r="C75" s="6" t="s">
        <v>28</v>
      </c>
      <c r="D75" s="6" t="n">
        <v>2</v>
      </c>
      <c r="E75" s="8" t="n">
        <v>23400</v>
      </c>
      <c r="F75" s="7" t="s">
        <v>36</v>
      </c>
      <c r="G75" s="9" t="n">
        <v>70685</v>
      </c>
      <c r="H75" s="9" t="n">
        <v>70685</v>
      </c>
      <c r="I75" s="10" t="n">
        <f aca="false">IF(E75=0,0,(E75-H75)/E75)</f>
        <v>-2.0207264957265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81290</v>
      </c>
      <c r="L75" s="8" t="n">
        <f aca="false">D75*E75</f>
        <v>46800</v>
      </c>
      <c r="M75" s="8" t="n">
        <f aca="false">D75*K75</f>
        <v>162580</v>
      </c>
      <c r="N75" s="8" t="n">
        <f aca="false">D75*H75</f>
        <v>141370</v>
      </c>
      <c r="O75" s="6" t="str">
        <f aca="false">IF(ISNUMBER(SEARCH(C75,F75)),"","YES")</f>
        <v>YES</v>
      </c>
      <c r="P75" s="6" t="s">
        <v>33</v>
      </c>
      <c r="Q75" s="7" t="s">
        <v>176</v>
      </c>
      <c r="R75" s="7"/>
    </row>
    <row r="76" customFormat="false" ht="22.35" hidden="false" customHeight="false" outlineLevel="0" collapsed="false">
      <c r="A76" s="6" t="n">
        <v>75</v>
      </c>
      <c r="B76" s="7" t="s">
        <v>177</v>
      </c>
      <c r="C76" s="6" t="s">
        <v>28</v>
      </c>
      <c r="D76" s="6" t="n">
        <v>2</v>
      </c>
      <c r="E76" s="8" t="n">
        <v>1950</v>
      </c>
      <c r="F76" s="7" t="s">
        <v>178</v>
      </c>
      <c r="G76" s="9" t="n">
        <v>7020</v>
      </c>
      <c r="H76" s="9" t="n">
        <v>7020</v>
      </c>
      <c r="I76" s="10" t="n">
        <f aca="false">IF(E76=0,0,(E76-H76)/E76)</f>
        <v>-2.6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8070</v>
      </c>
      <c r="L76" s="8" t="n">
        <f aca="false">D76*E76</f>
        <v>3900</v>
      </c>
      <c r="M76" s="8" t="n">
        <f aca="false">D76*K76</f>
        <v>16140</v>
      </c>
      <c r="N76" s="8" t="n">
        <f aca="false">D76*H76</f>
        <v>14040</v>
      </c>
      <c r="O76" s="6" t="str">
        <f aca="false">IF(ISNUMBER(SEARCH(C76,F76)),"","YES")</f>
        <v>YES</v>
      </c>
      <c r="P76" s="6" t="s">
        <v>33</v>
      </c>
      <c r="Q76" s="7" t="s">
        <v>179</v>
      </c>
      <c r="R76" s="7"/>
    </row>
    <row r="77" customFormat="false" ht="22.35" hidden="false" customHeight="false" outlineLevel="0" collapsed="false">
      <c r="A77" s="6" t="n">
        <v>76</v>
      </c>
      <c r="B77" s="7" t="s">
        <v>180</v>
      </c>
      <c r="C77" s="6" t="s">
        <v>28</v>
      </c>
      <c r="D77" s="6" t="n">
        <v>2</v>
      </c>
      <c r="E77" s="8" t="n">
        <v>2080</v>
      </c>
      <c r="F77" s="7" t="s">
        <v>178</v>
      </c>
      <c r="G77" s="9" t="n">
        <v>9630</v>
      </c>
      <c r="H77" s="9" t="n">
        <v>9630</v>
      </c>
      <c r="I77" s="10" t="n">
        <f aca="false">IF(E77=0,0,(E77-H77)/E77)</f>
        <v>-3.62980769230769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11070</v>
      </c>
      <c r="L77" s="8" t="n">
        <f aca="false">D77*E77</f>
        <v>4160</v>
      </c>
      <c r="M77" s="8" t="n">
        <f aca="false">D77*K77</f>
        <v>22140</v>
      </c>
      <c r="N77" s="8" t="n">
        <f aca="false">D77*H77</f>
        <v>19260</v>
      </c>
      <c r="O77" s="6" t="str">
        <f aca="false">IF(ISNUMBER(SEARCH(C77,F77)),"","YES")</f>
        <v>YES</v>
      </c>
      <c r="P77" s="6" t="s">
        <v>33</v>
      </c>
      <c r="Q77" s="7" t="s">
        <v>181</v>
      </c>
      <c r="R77" s="7"/>
    </row>
    <row r="78" customFormat="false" ht="22.35" hidden="false" customHeight="false" outlineLevel="0" collapsed="false">
      <c r="A78" s="6" t="n">
        <v>77</v>
      </c>
      <c r="B78" s="7" t="s">
        <v>182</v>
      </c>
      <c r="C78" s="6" t="s">
        <v>28</v>
      </c>
      <c r="D78" s="6" t="n">
        <v>2</v>
      </c>
      <c r="E78" s="8" t="n">
        <v>2210</v>
      </c>
      <c r="F78" s="7" t="s">
        <v>178</v>
      </c>
      <c r="G78" s="9" t="n">
        <v>9630</v>
      </c>
      <c r="H78" s="9" t="n">
        <v>9630</v>
      </c>
      <c r="I78" s="10" t="n">
        <f aca="false">IF(E78=0,0,(E78-H78)/E78)</f>
        <v>-3.35746606334842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11070</v>
      </c>
      <c r="L78" s="8" t="n">
        <f aca="false">D78*E78</f>
        <v>4420</v>
      </c>
      <c r="M78" s="8" t="n">
        <f aca="false">D78*K78</f>
        <v>22140</v>
      </c>
      <c r="N78" s="8" t="n">
        <f aca="false">D78*H78</f>
        <v>19260</v>
      </c>
      <c r="O78" s="6" t="str">
        <f aca="false">IF(ISNUMBER(SEARCH(C78,F78)),"","YES")</f>
        <v>YES</v>
      </c>
      <c r="P78" s="6" t="s">
        <v>24</v>
      </c>
      <c r="Q78" s="7" t="s">
        <v>183</v>
      </c>
      <c r="R78" s="7" t="s">
        <v>26</v>
      </c>
    </row>
    <row r="79" customFormat="false" ht="22.35" hidden="false" customHeight="false" outlineLevel="0" collapsed="false">
      <c r="A79" s="6" t="n">
        <v>78</v>
      </c>
      <c r="B79" s="7" t="s">
        <v>184</v>
      </c>
      <c r="C79" s="6" t="s">
        <v>28</v>
      </c>
      <c r="D79" s="6" t="n">
        <v>2</v>
      </c>
      <c r="E79" s="8" t="n">
        <v>2340</v>
      </c>
      <c r="F79" s="7" t="s">
        <v>178</v>
      </c>
      <c r="G79" s="9" t="n">
        <v>7920</v>
      </c>
      <c r="H79" s="9" t="n">
        <v>7920</v>
      </c>
      <c r="I79" s="10" t="n">
        <f aca="false">IF(E79=0,0,(E79-H79)/E79)</f>
        <v>-2.38461538461538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9110</v>
      </c>
      <c r="L79" s="8" t="n">
        <f aca="false">D79*E79</f>
        <v>4680</v>
      </c>
      <c r="M79" s="8" t="n">
        <f aca="false">D79*K79</f>
        <v>18220</v>
      </c>
      <c r="N79" s="8" t="n">
        <f aca="false">D79*H79</f>
        <v>15840</v>
      </c>
      <c r="O79" s="6" t="str">
        <f aca="false">IF(ISNUMBER(SEARCH(C79,F79)),"","YES")</f>
        <v>YES</v>
      </c>
      <c r="P79" s="6" t="s">
        <v>33</v>
      </c>
      <c r="Q79" s="7" t="s">
        <v>185</v>
      </c>
      <c r="R79" s="7"/>
    </row>
    <row r="80" customFormat="false" ht="22.35" hidden="false" customHeight="false" outlineLevel="0" collapsed="false">
      <c r="A80" s="6" t="n">
        <v>79</v>
      </c>
      <c r="B80" s="7" t="s">
        <v>186</v>
      </c>
      <c r="C80" s="6" t="s">
        <v>28</v>
      </c>
      <c r="D80" s="6" t="n">
        <v>2</v>
      </c>
      <c r="E80" s="8" t="n">
        <v>2470</v>
      </c>
      <c r="F80" s="7" t="s">
        <v>178</v>
      </c>
      <c r="G80" s="9" t="n">
        <v>11250</v>
      </c>
      <c r="H80" s="9" t="n">
        <v>11250</v>
      </c>
      <c r="I80" s="10" t="n">
        <f aca="false">IF(E80=0,0,(E80-H80)/E80)</f>
        <v>-3.55465587044534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12940</v>
      </c>
      <c r="L80" s="8" t="n">
        <f aca="false">D80*E80</f>
        <v>4940</v>
      </c>
      <c r="M80" s="8" t="n">
        <f aca="false">D80*K80</f>
        <v>25880</v>
      </c>
      <c r="N80" s="8" t="n">
        <f aca="false">D80*H80</f>
        <v>22500</v>
      </c>
      <c r="O80" s="6" t="str">
        <f aca="false">IF(ISNUMBER(SEARCH(C80,F80)),"","YES")</f>
        <v>YES</v>
      </c>
      <c r="P80" s="6" t="s">
        <v>24</v>
      </c>
      <c r="Q80" s="7" t="s">
        <v>187</v>
      </c>
      <c r="R80" s="7" t="s">
        <v>26</v>
      </c>
    </row>
    <row r="81" customFormat="false" ht="22.35" hidden="false" customHeight="false" outlineLevel="0" collapsed="false">
      <c r="A81" s="6" t="n">
        <v>80</v>
      </c>
      <c r="B81" s="7" t="s">
        <v>188</v>
      </c>
      <c r="C81" s="6" t="s">
        <v>28</v>
      </c>
      <c r="D81" s="6" t="n">
        <v>2</v>
      </c>
      <c r="E81" s="8" t="n">
        <v>2600</v>
      </c>
      <c r="F81" s="7" t="s">
        <v>178</v>
      </c>
      <c r="G81" s="9" t="n">
        <v>12600</v>
      </c>
      <c r="H81" s="9" t="n">
        <v>12600</v>
      </c>
      <c r="I81" s="10" t="n">
        <f aca="false">IF(E81=0,0,(E81-H81)/E81)</f>
        <v>-3.84615384615385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14490</v>
      </c>
      <c r="L81" s="8" t="n">
        <f aca="false">D81*E81</f>
        <v>5200</v>
      </c>
      <c r="M81" s="8" t="n">
        <f aca="false">D81*K81</f>
        <v>28980</v>
      </c>
      <c r="N81" s="8" t="n">
        <f aca="false">D81*H81</f>
        <v>25200</v>
      </c>
      <c r="O81" s="6" t="str">
        <f aca="false">IF(ISNUMBER(SEARCH(C81,F81)),"","YES")</f>
        <v>YES</v>
      </c>
      <c r="P81" s="6" t="s">
        <v>33</v>
      </c>
      <c r="Q81" s="7" t="s">
        <v>189</v>
      </c>
      <c r="R81" s="7"/>
    </row>
    <row r="82" customFormat="false" ht="22.35" hidden="false" customHeight="false" outlineLevel="0" collapsed="false">
      <c r="A82" s="6" t="n">
        <v>81</v>
      </c>
      <c r="B82" s="7" t="s">
        <v>190</v>
      </c>
      <c r="C82" s="6" t="s">
        <v>28</v>
      </c>
      <c r="D82" s="6" t="n">
        <v>2</v>
      </c>
      <c r="E82" s="8" t="n">
        <v>2730</v>
      </c>
      <c r="F82" s="7" t="s">
        <v>178</v>
      </c>
      <c r="G82" s="9" t="n">
        <v>11250</v>
      </c>
      <c r="H82" s="9" t="n">
        <v>11250</v>
      </c>
      <c r="I82" s="10" t="n">
        <f aca="false">IF(E82=0,0,(E82-H82)/E82)</f>
        <v>-3.12087912087912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12940</v>
      </c>
      <c r="L82" s="8" t="n">
        <f aca="false">D82*E82</f>
        <v>5460</v>
      </c>
      <c r="M82" s="8" t="n">
        <f aca="false">D82*K82</f>
        <v>25880</v>
      </c>
      <c r="N82" s="8" t="n">
        <f aca="false">D82*H82</f>
        <v>22500</v>
      </c>
      <c r="O82" s="6" t="str">
        <f aca="false">IF(ISNUMBER(SEARCH(C82,F82)),"","YES")</f>
        <v>YES</v>
      </c>
      <c r="P82" s="6" t="s">
        <v>33</v>
      </c>
      <c r="Q82" s="7" t="s">
        <v>191</v>
      </c>
      <c r="R82" s="7"/>
    </row>
    <row r="83" customFormat="false" ht="22.35" hidden="false" customHeight="false" outlineLevel="0" collapsed="false">
      <c r="A83" s="6" t="n">
        <v>82</v>
      </c>
      <c r="B83" s="7" t="s">
        <v>192</v>
      </c>
      <c r="C83" s="6" t="s">
        <v>28</v>
      </c>
      <c r="D83" s="6" t="n">
        <v>2</v>
      </c>
      <c r="E83" s="8" t="n">
        <v>3250</v>
      </c>
      <c r="F83" s="7" t="s">
        <v>178</v>
      </c>
      <c r="G83" s="9" t="n">
        <v>12240</v>
      </c>
      <c r="H83" s="9" t="n">
        <v>12240</v>
      </c>
      <c r="I83" s="10" t="n">
        <f aca="false">IF(E83=0,0,(E83-H83)/E83)</f>
        <v>-2.76615384615385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14080</v>
      </c>
      <c r="L83" s="8" t="n">
        <f aca="false">D83*E83</f>
        <v>6500</v>
      </c>
      <c r="M83" s="8" t="n">
        <f aca="false">D83*K83</f>
        <v>28160</v>
      </c>
      <c r="N83" s="8" t="n">
        <f aca="false">D83*H83</f>
        <v>24480</v>
      </c>
      <c r="O83" s="6" t="str">
        <f aca="false">IF(ISNUMBER(SEARCH(C83,F83)),"","YES")</f>
        <v>YES</v>
      </c>
      <c r="P83" s="6" t="s">
        <v>33</v>
      </c>
      <c r="Q83" s="7" t="s">
        <v>193</v>
      </c>
      <c r="R83" s="7"/>
    </row>
    <row r="84" customFormat="false" ht="22.35" hidden="false" customHeight="false" outlineLevel="0" collapsed="false">
      <c r="A84" s="6" t="n">
        <v>83</v>
      </c>
      <c r="B84" s="7" t="s">
        <v>194</v>
      </c>
      <c r="C84" s="6" t="s">
        <v>28</v>
      </c>
      <c r="D84" s="6" t="n">
        <v>1</v>
      </c>
      <c r="E84" s="8" t="n">
        <v>4160</v>
      </c>
      <c r="F84" s="7" t="s">
        <v>178</v>
      </c>
      <c r="G84" s="9" t="n">
        <v>13500</v>
      </c>
      <c r="H84" s="9" t="n">
        <v>13500</v>
      </c>
      <c r="I84" s="10" t="n">
        <f aca="false">IF(E84=0,0,(E84-H84)/E84)</f>
        <v>-2.24519230769231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15530</v>
      </c>
      <c r="L84" s="8" t="n">
        <f aca="false">D84*E84</f>
        <v>4160</v>
      </c>
      <c r="M84" s="8" t="n">
        <f aca="false">D84*K84</f>
        <v>15530</v>
      </c>
      <c r="N84" s="8" t="n">
        <f aca="false">D84*H84</f>
        <v>13500</v>
      </c>
      <c r="O84" s="6" t="str">
        <f aca="false">IF(ISNUMBER(SEARCH(C84,F84)),"","YES")</f>
        <v>YES</v>
      </c>
      <c r="P84" s="6" t="s">
        <v>24</v>
      </c>
      <c r="Q84" s="7" t="s">
        <v>195</v>
      </c>
      <c r="R84" s="7" t="s">
        <v>26</v>
      </c>
    </row>
    <row r="85" customFormat="false" ht="22.35" hidden="false" customHeight="false" outlineLevel="0" collapsed="false">
      <c r="A85" s="6" t="n">
        <v>84</v>
      </c>
      <c r="B85" s="7" t="s">
        <v>196</v>
      </c>
      <c r="C85" s="6" t="s">
        <v>28</v>
      </c>
      <c r="D85" s="6" t="n">
        <v>1</v>
      </c>
      <c r="E85" s="8" t="n">
        <v>5850</v>
      </c>
      <c r="F85" s="7" t="s">
        <v>178</v>
      </c>
      <c r="G85" s="9" t="n">
        <v>20250</v>
      </c>
      <c r="H85" s="9" t="n">
        <v>20250</v>
      </c>
      <c r="I85" s="10" t="n">
        <f aca="false">IF(E85=0,0,(E85-H85)/E85)</f>
        <v>-2.46153846153846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23290</v>
      </c>
      <c r="L85" s="8" t="n">
        <f aca="false">D85*E85</f>
        <v>5850</v>
      </c>
      <c r="M85" s="8" t="n">
        <f aca="false">D85*K85</f>
        <v>23290</v>
      </c>
      <c r="N85" s="8" t="n">
        <f aca="false">D85*H85</f>
        <v>20250</v>
      </c>
      <c r="O85" s="6" t="str">
        <f aca="false">IF(ISNUMBER(SEARCH(C85,F85)),"","YES")</f>
        <v>YES</v>
      </c>
      <c r="P85" s="6" t="s">
        <v>33</v>
      </c>
      <c r="Q85" s="7" t="s">
        <v>197</v>
      </c>
      <c r="R85" s="7"/>
    </row>
    <row r="86" customFormat="false" ht="32.8" hidden="false" customHeight="false" outlineLevel="0" collapsed="false">
      <c r="A86" s="6" t="n">
        <v>85</v>
      </c>
      <c r="B86" s="7" t="s">
        <v>198</v>
      </c>
      <c r="C86" s="6" t="s">
        <v>28</v>
      </c>
      <c r="D86" s="6" t="n">
        <v>1</v>
      </c>
      <c r="E86" s="8" t="n">
        <v>8450</v>
      </c>
      <c r="F86" s="7" t="s">
        <v>178</v>
      </c>
      <c r="G86" s="9" t="n">
        <v>39640</v>
      </c>
      <c r="H86" s="9" t="n">
        <v>39640</v>
      </c>
      <c r="I86" s="10" t="n">
        <f aca="false">IF(E86=0,0,(E86-H86)/E86)</f>
        <v>-3.69112426035503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45590</v>
      </c>
      <c r="L86" s="8" t="n">
        <f aca="false">D86*E86</f>
        <v>8450</v>
      </c>
      <c r="M86" s="8" t="n">
        <f aca="false">D86*K86</f>
        <v>45590</v>
      </c>
      <c r="N86" s="8" t="n">
        <f aca="false">D86*H86</f>
        <v>39640</v>
      </c>
      <c r="O86" s="6" t="str">
        <f aca="false">IF(ISNUMBER(SEARCH(C86,F86)),"","YES")</f>
        <v>YES</v>
      </c>
      <c r="P86" s="6" t="s">
        <v>24</v>
      </c>
      <c r="Q86" s="7" t="s">
        <v>199</v>
      </c>
      <c r="R86" s="7" t="s">
        <v>26</v>
      </c>
    </row>
    <row r="87" customFormat="false" ht="22.35" hidden="false" customHeight="false" outlineLevel="0" collapsed="false">
      <c r="A87" s="6" t="n">
        <v>86</v>
      </c>
      <c r="B87" s="7" t="s">
        <v>200</v>
      </c>
      <c r="C87" s="6" t="s">
        <v>28</v>
      </c>
      <c r="D87" s="6" t="n">
        <v>1</v>
      </c>
      <c r="E87" s="8" t="n">
        <v>9750</v>
      </c>
      <c r="F87" s="7" t="s">
        <v>178</v>
      </c>
      <c r="G87" s="9" t="n">
        <v>39640</v>
      </c>
      <c r="H87" s="9" t="n">
        <v>39640</v>
      </c>
      <c r="I87" s="10" t="n">
        <f aca="false">IF(E87=0,0,(E87-H87)/E87)</f>
        <v>-3.06564102564103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45590</v>
      </c>
      <c r="L87" s="8" t="n">
        <f aca="false">D87*E87</f>
        <v>9750</v>
      </c>
      <c r="M87" s="8" t="n">
        <f aca="false">D87*K87</f>
        <v>45590</v>
      </c>
      <c r="N87" s="8" t="n">
        <f aca="false">D87*H87</f>
        <v>39640</v>
      </c>
      <c r="O87" s="6" t="str">
        <f aca="false">IF(ISNUMBER(SEARCH(C87,F87)),"","YES")</f>
        <v>YES</v>
      </c>
      <c r="P87" s="6" t="s">
        <v>33</v>
      </c>
      <c r="Q87" s="7" t="s">
        <v>201</v>
      </c>
      <c r="R87" s="7"/>
    </row>
    <row r="88" customFormat="false" ht="22.35" hidden="false" customHeight="false" outlineLevel="0" collapsed="false">
      <c r="A88" s="6" t="n">
        <v>87</v>
      </c>
      <c r="B88" s="7" t="s">
        <v>202</v>
      </c>
      <c r="C88" s="6" t="s">
        <v>28</v>
      </c>
      <c r="D88" s="6" t="n">
        <v>1</v>
      </c>
      <c r="E88" s="8" t="n">
        <v>11700</v>
      </c>
      <c r="F88" s="7" t="s">
        <v>178</v>
      </c>
      <c r="G88" s="9" t="n">
        <v>40500</v>
      </c>
      <c r="H88" s="9" t="n">
        <v>40500</v>
      </c>
      <c r="I88" s="10" t="n">
        <f aca="false">IF(E88=0,0,(E88-H88)/E88)</f>
        <v>-2.46153846153846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46580</v>
      </c>
      <c r="L88" s="8" t="n">
        <f aca="false">D88*E88</f>
        <v>11700</v>
      </c>
      <c r="M88" s="8" t="n">
        <f aca="false">D88*K88</f>
        <v>46580</v>
      </c>
      <c r="N88" s="8" t="n">
        <f aca="false">D88*H88</f>
        <v>40500</v>
      </c>
      <c r="O88" s="6" t="str">
        <f aca="false">IF(ISNUMBER(SEARCH(C88,F88)),"","YES")</f>
        <v>YES</v>
      </c>
      <c r="P88" s="6" t="s">
        <v>24</v>
      </c>
      <c r="Q88" s="7" t="s">
        <v>203</v>
      </c>
      <c r="R88" s="7" t="s">
        <v>26</v>
      </c>
    </row>
    <row r="89" customFormat="false" ht="22.35" hidden="false" customHeight="false" outlineLevel="0" collapsed="false">
      <c r="A89" s="6" t="n">
        <v>88</v>
      </c>
      <c r="B89" s="7" t="s">
        <v>204</v>
      </c>
      <c r="C89" s="6" t="s">
        <v>28</v>
      </c>
      <c r="D89" s="6" t="n">
        <v>2</v>
      </c>
      <c r="E89" s="8" t="n">
        <v>4550</v>
      </c>
      <c r="F89" s="7" t="s">
        <v>39</v>
      </c>
      <c r="G89" s="9" t="n">
        <v>3289</v>
      </c>
      <c r="H89" s="9" t="n">
        <v>3289</v>
      </c>
      <c r="I89" s="10" t="n">
        <f aca="false">IF(E89=0,0,(E89-H89)/E89)</f>
        <v>0.277142857142857</v>
      </c>
      <c r="J89" s="6" t="str">
        <f aca="false">IF(E89&lt;G89,"LOSS",IF(E89&lt;H89*1.1,"THIN / RISK",IF(E89&gt;H89*1.8,"OVERPRICED?","OK")))</f>
        <v>OK</v>
      </c>
      <c r="K89" s="8" t="n">
        <f aca="false">IF(J89="OVERPRICED?",ROUND(H89*1.35,-1),MAX(E89,ROUND(H89*(1+$E$3),-1)))</f>
        <v>4550</v>
      </c>
      <c r="L89" s="8" t="n">
        <f aca="false">D89*E89</f>
        <v>9100</v>
      </c>
      <c r="M89" s="8" t="n">
        <f aca="false">D89*K89</f>
        <v>9100</v>
      </c>
      <c r="N89" s="8" t="n">
        <f aca="false">D89*H89</f>
        <v>6578</v>
      </c>
      <c r="O89" s="6" t="str">
        <f aca="false">IF(ISNUMBER(SEARCH(C89,F89)),"","YES")</f>
        <v>YES</v>
      </c>
      <c r="P89" s="6" t="s">
        <v>24</v>
      </c>
      <c r="Q89" s="7" t="s">
        <v>205</v>
      </c>
      <c r="R89" s="7" t="s">
        <v>26</v>
      </c>
    </row>
    <row r="90" customFormat="false" ht="22.35" hidden="false" customHeight="false" outlineLevel="0" collapsed="false">
      <c r="A90" s="6" t="n">
        <v>89</v>
      </c>
      <c r="B90" s="7" t="s">
        <v>204</v>
      </c>
      <c r="C90" s="6" t="s">
        <v>28</v>
      </c>
      <c r="D90" s="6" t="n">
        <v>2</v>
      </c>
      <c r="E90" s="8" t="n">
        <v>5850</v>
      </c>
      <c r="F90" s="7" t="s">
        <v>39</v>
      </c>
      <c r="G90" s="9" t="n">
        <v>14857</v>
      </c>
      <c r="H90" s="9" t="n">
        <v>14857</v>
      </c>
      <c r="I90" s="10" t="n">
        <f aca="false">IF(E90=0,0,(E90-H90)/E90)</f>
        <v>-1.53965811965812</v>
      </c>
      <c r="J90" s="6" t="str">
        <f aca="false">IF(E90&lt;G90,"LOSS",IF(E90&lt;H90*1.1,"THIN / RISK",IF(E90&gt;H90*1.8,"OVERPRICED?","OK")))</f>
        <v>LOSS</v>
      </c>
      <c r="K90" s="8" t="n">
        <f aca="false">IF(J90="OVERPRICED?",ROUND(H90*1.35,-1),MAX(E90,ROUND(H90*(1+$E$3),-1)))</f>
        <v>17090</v>
      </c>
      <c r="L90" s="8" t="n">
        <f aca="false">D90*E90</f>
        <v>11700</v>
      </c>
      <c r="M90" s="8" t="n">
        <f aca="false">D90*K90</f>
        <v>34180</v>
      </c>
      <c r="N90" s="8" t="n">
        <f aca="false">D90*H90</f>
        <v>29714</v>
      </c>
      <c r="O90" s="6" t="str">
        <f aca="false">IF(ISNUMBER(SEARCH(C90,F90)),"","YES")</f>
        <v>YES</v>
      </c>
      <c r="P90" s="6" t="s">
        <v>24</v>
      </c>
      <c r="Q90" s="7" t="s">
        <v>206</v>
      </c>
      <c r="R90" s="7" t="s">
        <v>26</v>
      </c>
    </row>
    <row r="91" customFormat="false" ht="22.35" hidden="false" customHeight="false" outlineLevel="0" collapsed="false">
      <c r="A91" s="6" t="n">
        <v>90</v>
      </c>
      <c r="B91" s="7" t="s">
        <v>204</v>
      </c>
      <c r="C91" s="6" t="s">
        <v>28</v>
      </c>
      <c r="D91" s="6" t="n">
        <v>2</v>
      </c>
      <c r="E91" s="8" t="n">
        <v>7150</v>
      </c>
      <c r="F91" s="7" t="s">
        <v>39</v>
      </c>
      <c r="G91" s="9" t="n">
        <v>15188</v>
      </c>
      <c r="H91" s="9" t="n">
        <v>15188</v>
      </c>
      <c r="I91" s="10" t="n">
        <f aca="false">IF(E91=0,0,(E91-H91)/E91)</f>
        <v>-1.1241958041958</v>
      </c>
      <c r="J91" s="6" t="str">
        <f aca="false">IF(E91&lt;G91,"LOSS",IF(E91&lt;H91*1.1,"THIN / RISK",IF(E91&gt;H91*1.8,"OVERPRICED?","OK")))</f>
        <v>LOSS</v>
      </c>
      <c r="K91" s="8" t="n">
        <f aca="false">IF(J91="OVERPRICED?",ROUND(H91*1.35,-1),MAX(E91,ROUND(H91*(1+$E$3),-1)))</f>
        <v>17470</v>
      </c>
      <c r="L91" s="8" t="n">
        <f aca="false">D91*E91</f>
        <v>14300</v>
      </c>
      <c r="M91" s="8" t="n">
        <f aca="false">D91*K91</f>
        <v>34940</v>
      </c>
      <c r="N91" s="8" t="n">
        <f aca="false">D91*H91</f>
        <v>30376</v>
      </c>
      <c r="O91" s="6" t="str">
        <f aca="false">IF(ISNUMBER(SEARCH(C91,F91)),"","YES")</f>
        <v>YES</v>
      </c>
      <c r="P91" s="6" t="s">
        <v>24</v>
      </c>
      <c r="Q91" s="7" t="s">
        <v>207</v>
      </c>
      <c r="R91" s="7" t="s">
        <v>26</v>
      </c>
    </row>
    <row r="92" customFormat="false" ht="22.35" hidden="false" customHeight="false" outlineLevel="0" collapsed="false">
      <c r="A92" s="6" t="n">
        <v>91</v>
      </c>
      <c r="B92" s="7" t="s">
        <v>208</v>
      </c>
      <c r="C92" s="6" t="s">
        <v>28</v>
      </c>
      <c r="D92" s="6" t="n">
        <v>2</v>
      </c>
      <c r="E92" s="8" t="n">
        <v>2340</v>
      </c>
      <c r="F92" s="7" t="s">
        <v>39</v>
      </c>
      <c r="G92" s="9" t="n">
        <v>6263</v>
      </c>
      <c r="H92" s="9" t="n">
        <v>6263</v>
      </c>
      <c r="I92" s="10" t="n">
        <f aca="false">IF(E92=0,0,(E92-H92)/E92)</f>
        <v>-1.67649572649573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7200</v>
      </c>
      <c r="L92" s="8" t="n">
        <f aca="false">D92*E92</f>
        <v>4680</v>
      </c>
      <c r="M92" s="8" t="n">
        <f aca="false">D92*K92</f>
        <v>14400</v>
      </c>
      <c r="N92" s="8" t="n">
        <f aca="false">D92*H92</f>
        <v>12526</v>
      </c>
      <c r="O92" s="6" t="str">
        <f aca="false">IF(ISNUMBER(SEARCH(C92,F92)),"","YES")</f>
        <v>YES</v>
      </c>
      <c r="P92" s="6" t="s">
        <v>24</v>
      </c>
      <c r="Q92" s="7" t="s">
        <v>209</v>
      </c>
      <c r="R92" s="7" t="s">
        <v>26</v>
      </c>
    </row>
    <row r="93" customFormat="false" ht="22.35" hidden="false" customHeight="false" outlineLevel="0" collapsed="false">
      <c r="A93" s="6" t="n">
        <v>92</v>
      </c>
      <c r="B93" s="7" t="s">
        <v>210</v>
      </c>
      <c r="C93" s="6" t="s">
        <v>28</v>
      </c>
      <c r="D93" s="6" t="n">
        <v>2</v>
      </c>
      <c r="E93" s="8" t="n">
        <v>2860</v>
      </c>
      <c r="F93" s="7" t="s">
        <v>39</v>
      </c>
      <c r="G93" s="9" t="n">
        <v>6263</v>
      </c>
      <c r="H93" s="9" t="n">
        <v>6263</v>
      </c>
      <c r="I93" s="10" t="n">
        <f aca="false">IF(E93=0,0,(E93-H93)/E93)</f>
        <v>-1.18986013986014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7200</v>
      </c>
      <c r="L93" s="8" t="n">
        <f aca="false">D93*E93</f>
        <v>5720</v>
      </c>
      <c r="M93" s="8" t="n">
        <f aca="false">D93*K93</f>
        <v>14400</v>
      </c>
      <c r="N93" s="8" t="n">
        <f aca="false">D93*H93</f>
        <v>12526</v>
      </c>
      <c r="O93" s="6" t="str">
        <f aca="false">IF(ISNUMBER(SEARCH(C93,F93)),"","YES")</f>
        <v>YES</v>
      </c>
      <c r="P93" s="6" t="s">
        <v>33</v>
      </c>
      <c r="Q93" s="7" t="s">
        <v>211</v>
      </c>
      <c r="R93" s="7"/>
    </row>
    <row r="94" customFormat="false" ht="22.35" hidden="false" customHeight="false" outlineLevel="0" collapsed="false">
      <c r="A94" s="6" t="n">
        <v>93</v>
      </c>
      <c r="B94" s="7" t="s">
        <v>212</v>
      </c>
      <c r="C94" s="6" t="s">
        <v>167</v>
      </c>
      <c r="D94" s="6" t="n">
        <v>2</v>
      </c>
      <c r="E94" s="8" t="n">
        <v>25350</v>
      </c>
      <c r="F94" s="7" t="s">
        <v>167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33</v>
      </c>
      <c r="Q94" s="7" t="s">
        <v>213</v>
      </c>
      <c r="R94" s="7"/>
    </row>
    <row r="95" customFormat="false" ht="15" hidden="false" customHeight="false" outlineLevel="0" collapsed="false">
      <c r="A95" s="6" t="n">
        <v>94</v>
      </c>
      <c r="B95" s="7" t="s">
        <v>214</v>
      </c>
      <c r="C95" s="6" t="s">
        <v>167</v>
      </c>
      <c r="D95" s="6" t="n">
        <v>3</v>
      </c>
      <c r="E95" s="8" t="n">
        <v>8138</v>
      </c>
      <c r="F95" s="7" t="s">
        <v>167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33</v>
      </c>
      <c r="Q95" s="7" t="s">
        <v>215</v>
      </c>
      <c r="R95" s="7"/>
    </row>
    <row r="96" customFormat="false" ht="15" hidden="false" customHeight="false" outlineLevel="0" collapsed="false">
      <c r="A96" s="6" t="n">
        <v>95</v>
      </c>
      <c r="B96" s="7" t="s">
        <v>216</v>
      </c>
      <c r="C96" s="6" t="s">
        <v>167</v>
      </c>
      <c r="D96" s="6" t="n">
        <v>3</v>
      </c>
      <c r="E96" s="8" t="n">
        <v>6370</v>
      </c>
      <c r="F96" s="7" t="s">
        <v>167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33</v>
      </c>
      <c r="Q96" s="7" t="s">
        <v>217</v>
      </c>
      <c r="R96" s="7"/>
    </row>
    <row r="97" customFormat="false" ht="32.8" hidden="false" customHeight="false" outlineLevel="0" collapsed="false">
      <c r="A97" s="6" t="n">
        <v>96</v>
      </c>
      <c r="B97" s="7" t="s">
        <v>218</v>
      </c>
      <c r="C97" s="6" t="s">
        <v>28</v>
      </c>
      <c r="D97" s="6" t="n">
        <v>2</v>
      </c>
      <c r="E97" s="8" t="n">
        <v>14950</v>
      </c>
      <c r="F97" s="7" t="s">
        <v>167</v>
      </c>
      <c r="G97" s="9" t="n">
        <v>27919</v>
      </c>
      <c r="H97" s="9" t="n">
        <v>27919</v>
      </c>
      <c r="I97" s="10" t="n">
        <f aca="false">IF(E97=0,0,(E97-H97)/E97)</f>
        <v>-0.867491638795987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32110</v>
      </c>
      <c r="L97" s="8" t="n">
        <f aca="false">D97*E97</f>
        <v>29900</v>
      </c>
      <c r="M97" s="8" t="n">
        <f aca="false">D97*K97</f>
        <v>64220</v>
      </c>
      <c r="N97" s="8" t="n">
        <f aca="false">D97*H97</f>
        <v>55838</v>
      </c>
      <c r="O97" s="6" t="str">
        <f aca="false">IF(ISNUMBER(SEARCH(C97,F97)),"","YES")</f>
        <v>YES</v>
      </c>
      <c r="P97" s="6" t="s">
        <v>24</v>
      </c>
      <c r="Q97" s="7" t="s">
        <v>219</v>
      </c>
      <c r="R97" s="7" t="s">
        <v>26</v>
      </c>
    </row>
    <row r="98" customFormat="false" ht="22.35" hidden="false" customHeight="false" outlineLevel="0" collapsed="false">
      <c r="A98" s="6" t="n">
        <v>97</v>
      </c>
      <c r="B98" s="7" t="s">
        <v>220</v>
      </c>
      <c r="C98" s="6" t="s">
        <v>111</v>
      </c>
      <c r="D98" s="6" t="n">
        <v>2</v>
      </c>
      <c r="E98" s="8" t="n">
        <v>286000</v>
      </c>
      <c r="F98" s="7" t="s">
        <v>111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24</v>
      </c>
      <c r="Q98" s="7" t="s">
        <v>221</v>
      </c>
      <c r="R98" s="7" t="s">
        <v>26</v>
      </c>
    </row>
    <row r="99" customFormat="false" ht="32.8" hidden="false" customHeight="false" outlineLevel="0" collapsed="false">
      <c r="A99" s="6" t="n">
        <v>98</v>
      </c>
      <c r="B99" s="7" t="s">
        <v>222</v>
      </c>
      <c r="C99" s="6" t="s">
        <v>36</v>
      </c>
      <c r="D99" s="6" t="n">
        <v>1</v>
      </c>
      <c r="E99" s="8" t="n">
        <v>15600</v>
      </c>
      <c r="F99" s="7" t="s">
        <v>36</v>
      </c>
      <c r="G99" s="9" t="n">
        <v>40172</v>
      </c>
      <c r="H99" s="9" t="n">
        <v>40172</v>
      </c>
      <c r="I99" s="10" t="n">
        <f aca="false">IF(E99=0,0,(E99-H99)/E99)</f>
        <v>-1.57512820512821</v>
      </c>
      <c r="J99" s="6" t="str">
        <f aca="false">IF(E99&lt;G99,"LOSS",IF(E99&lt;H99*1.1,"THIN / RISK",IF(E99&gt;H99*1.8,"OVERPRICED?","OK")))</f>
        <v>LOSS</v>
      </c>
      <c r="K99" s="8" t="n">
        <f aca="false">IF(J99="OVERPRICED?",ROUND(H99*1.35,-1),MAX(E99,ROUND(H99*(1+$E$3),-1)))</f>
        <v>46200</v>
      </c>
      <c r="L99" s="8" t="n">
        <f aca="false">D99*E99</f>
        <v>15600</v>
      </c>
      <c r="M99" s="8" t="n">
        <f aca="false">D99*K99</f>
        <v>46200</v>
      </c>
      <c r="N99" s="8" t="n">
        <f aca="false">D99*H99</f>
        <v>40172</v>
      </c>
      <c r="O99" s="6" t="str">
        <f aca="false">IF(ISNUMBER(SEARCH(C99,F99)),"","YES")</f>
        <v/>
      </c>
      <c r="P99" s="6" t="s">
        <v>24</v>
      </c>
      <c r="Q99" s="7" t="s">
        <v>223</v>
      </c>
      <c r="R99" s="7" t="s">
        <v>26</v>
      </c>
    </row>
    <row r="100" customFormat="false" ht="32.8" hidden="false" customHeight="false" outlineLevel="0" collapsed="false">
      <c r="A100" s="6" t="n">
        <v>99</v>
      </c>
      <c r="B100" s="7" t="s">
        <v>224</v>
      </c>
      <c r="C100" s="6" t="s">
        <v>28</v>
      </c>
      <c r="D100" s="6" t="n">
        <v>1</v>
      </c>
      <c r="E100" s="8" t="n">
        <v>11050</v>
      </c>
      <c r="F100" s="7" t="s">
        <v>36</v>
      </c>
      <c r="G100" s="9" t="n">
        <v>40172</v>
      </c>
      <c r="H100" s="9" t="n">
        <v>40172</v>
      </c>
      <c r="I100" s="10" t="n">
        <f aca="false">IF(E100=0,0,(E100-H100)/E100)</f>
        <v>-2.63547511312217</v>
      </c>
      <c r="J100" s="6" t="str">
        <f aca="false">IF(E100&lt;G100,"LOSS",IF(E100&lt;H100*1.1,"THIN / RISK",IF(E100&gt;H100*1.8,"OVERPRICED?","OK")))</f>
        <v>LOSS</v>
      </c>
      <c r="K100" s="8" t="n">
        <f aca="false">IF(J100="OVERPRICED?",ROUND(H100*1.35,-1),MAX(E100,ROUND(H100*(1+$E$3),-1)))</f>
        <v>46200</v>
      </c>
      <c r="L100" s="8" t="n">
        <f aca="false">D100*E100</f>
        <v>11050</v>
      </c>
      <c r="M100" s="8" t="n">
        <f aca="false">D100*K100</f>
        <v>46200</v>
      </c>
      <c r="N100" s="8" t="n">
        <f aca="false">D100*H100</f>
        <v>40172</v>
      </c>
      <c r="O100" s="6" t="str">
        <f aca="false">IF(ISNUMBER(SEARCH(C100,F100)),"","YES")</f>
        <v>YES</v>
      </c>
      <c r="P100" s="6" t="s">
        <v>33</v>
      </c>
      <c r="Q100" s="7" t="s">
        <v>225</v>
      </c>
      <c r="R100" s="7"/>
    </row>
    <row r="101" customFormat="false" ht="22.35" hidden="false" customHeight="false" outlineLevel="0" collapsed="false">
      <c r="A101" s="6" t="n">
        <v>100</v>
      </c>
      <c r="B101" s="7" t="s">
        <v>226</v>
      </c>
      <c r="C101" s="6" t="s">
        <v>28</v>
      </c>
      <c r="D101" s="6" t="n">
        <v>1</v>
      </c>
      <c r="E101" s="8" t="n">
        <v>9100</v>
      </c>
      <c r="F101" s="7" t="s">
        <v>36</v>
      </c>
      <c r="G101" s="9" t="n">
        <v>21735</v>
      </c>
      <c r="H101" s="9" t="n">
        <v>21735</v>
      </c>
      <c r="I101" s="10" t="n">
        <f aca="false">IF(E101=0,0,(E101-H101)/E101)</f>
        <v>-1.38846153846154</v>
      </c>
      <c r="J101" s="6" t="str">
        <f aca="false">IF(E101&lt;G101,"LOSS",IF(E101&lt;H101*1.1,"THIN / RISK",IF(E101&gt;H101*1.8,"OVERPRICED?","OK")))</f>
        <v>LOSS</v>
      </c>
      <c r="K101" s="8" t="n">
        <f aca="false">IF(J101="OVERPRICED?",ROUND(H101*1.35,-1),MAX(E101,ROUND(H101*(1+$E$3),-1)))</f>
        <v>25000</v>
      </c>
      <c r="L101" s="8" t="n">
        <f aca="false">D101*E101</f>
        <v>9100</v>
      </c>
      <c r="M101" s="8" t="n">
        <f aca="false">D101*K101</f>
        <v>25000</v>
      </c>
      <c r="N101" s="8" t="n">
        <f aca="false">D101*H101</f>
        <v>21735</v>
      </c>
      <c r="O101" s="6" t="str">
        <f aca="false">IF(ISNUMBER(SEARCH(C101,F101)),"","YES")</f>
        <v>YES</v>
      </c>
      <c r="P101" s="6" t="s">
        <v>24</v>
      </c>
      <c r="Q101" s="7" t="s">
        <v>227</v>
      </c>
      <c r="R101" s="7" t="s">
        <v>26</v>
      </c>
    </row>
    <row r="102" customFormat="false" ht="32.8" hidden="false" customHeight="false" outlineLevel="0" collapsed="false">
      <c r="A102" s="6" t="n">
        <v>101</v>
      </c>
      <c r="B102" s="7" t="s">
        <v>228</v>
      </c>
      <c r="C102" s="6" t="s">
        <v>28</v>
      </c>
      <c r="D102" s="6" t="n">
        <v>3</v>
      </c>
      <c r="E102" s="8" t="n">
        <v>7150</v>
      </c>
      <c r="F102" s="7" t="s">
        <v>36</v>
      </c>
      <c r="G102" s="9" t="n">
        <v>20180</v>
      </c>
      <c r="H102" s="9" t="n">
        <v>20180</v>
      </c>
      <c r="I102" s="10" t="n">
        <f aca="false">IF(E102=0,0,(E102-H102)/E102)</f>
        <v>-1.82237762237762</v>
      </c>
      <c r="J102" s="6" t="str">
        <f aca="false">IF(E102&lt;G102,"LOSS",IF(E102&lt;H102*1.1,"THIN / RISK",IF(E102&gt;H102*1.8,"OVERPRICED?","OK")))</f>
        <v>LOSS</v>
      </c>
      <c r="K102" s="8" t="n">
        <f aca="false">IF(J102="OVERPRICED?",ROUND(H102*1.35,-1),MAX(E102,ROUND(H102*(1+$E$3),-1)))</f>
        <v>23210</v>
      </c>
      <c r="L102" s="8" t="n">
        <f aca="false">D102*E102</f>
        <v>21450</v>
      </c>
      <c r="M102" s="8" t="n">
        <f aca="false">D102*K102</f>
        <v>69630</v>
      </c>
      <c r="N102" s="8" t="n">
        <f aca="false">D102*H102</f>
        <v>60540</v>
      </c>
      <c r="O102" s="6" t="str">
        <f aca="false">IF(ISNUMBER(SEARCH(C102,F102)),"","YES")</f>
        <v>YES</v>
      </c>
      <c r="P102" s="6" t="s">
        <v>33</v>
      </c>
      <c r="Q102" s="7" t="s">
        <v>229</v>
      </c>
      <c r="R102" s="7"/>
    </row>
    <row r="103" customFormat="false" ht="22.35" hidden="false" customHeight="false" outlineLevel="0" collapsed="false">
      <c r="A103" s="6" t="n">
        <v>102</v>
      </c>
      <c r="B103" s="7" t="s">
        <v>230</v>
      </c>
      <c r="C103" s="6" t="s">
        <v>28</v>
      </c>
      <c r="D103" s="6" t="n">
        <v>3</v>
      </c>
      <c r="E103" s="8" t="n">
        <v>5850</v>
      </c>
      <c r="F103" s="7" t="s">
        <v>36</v>
      </c>
      <c r="G103" s="9" t="n">
        <v>16353</v>
      </c>
      <c r="H103" s="9" t="n">
        <v>16353</v>
      </c>
      <c r="I103" s="10" t="n">
        <f aca="false">IF(E103=0,0,(E103-H103)/E103)</f>
        <v>-1.79538461538462</v>
      </c>
      <c r="J103" s="6" t="str">
        <f aca="false">IF(E103&lt;G103,"LOSS",IF(E103&lt;H103*1.1,"THIN / RISK",IF(E103&gt;H103*1.8,"OVERPRICED?","OK")))</f>
        <v>LOSS</v>
      </c>
      <c r="K103" s="8" t="n">
        <f aca="false">IF(J103="OVERPRICED?",ROUND(H103*1.35,-1),MAX(E103,ROUND(H103*(1+$E$3),-1)))</f>
        <v>18810</v>
      </c>
      <c r="L103" s="8" t="n">
        <f aca="false">D103*E103</f>
        <v>17550</v>
      </c>
      <c r="M103" s="8" t="n">
        <f aca="false">D103*K103</f>
        <v>56430</v>
      </c>
      <c r="N103" s="8" t="n">
        <f aca="false">D103*H103</f>
        <v>49059</v>
      </c>
      <c r="O103" s="6" t="str">
        <f aca="false">IF(ISNUMBER(SEARCH(C103,F103)),"","YES")</f>
        <v>YES</v>
      </c>
      <c r="P103" s="6" t="s">
        <v>33</v>
      </c>
      <c r="Q103" s="7" t="s">
        <v>231</v>
      </c>
      <c r="R103" s="7"/>
    </row>
    <row r="104" customFormat="false" ht="22.35" hidden="false" customHeight="false" outlineLevel="0" collapsed="false">
      <c r="A104" s="6" t="n">
        <v>103</v>
      </c>
      <c r="B104" s="7" t="s">
        <v>232</v>
      </c>
      <c r="C104" s="6" t="s">
        <v>22</v>
      </c>
      <c r="D104" s="6" t="n">
        <v>12</v>
      </c>
      <c r="E104" s="8" t="n">
        <v>715</v>
      </c>
      <c r="F104" s="7" t="s">
        <v>53</v>
      </c>
      <c r="G104" s="9" t="n">
        <v>540</v>
      </c>
      <c r="H104" s="9" t="n">
        <v>540</v>
      </c>
      <c r="I104" s="10" t="n">
        <f aca="false">IF(E104=0,0,(E104-H104)/E104)</f>
        <v>0.244755244755245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6480</v>
      </c>
      <c r="O104" s="6" t="str">
        <f aca="false">IF(ISNUMBER(SEARCH(C104,F104)),"","YES")</f>
        <v>YES</v>
      </c>
      <c r="P104" s="6" t="s">
        <v>33</v>
      </c>
      <c r="Q104" s="7" t="s">
        <v>233</v>
      </c>
      <c r="R104" s="7"/>
    </row>
    <row r="105" customFormat="false" ht="22.35" hidden="false" customHeight="false" outlineLevel="0" collapsed="false">
      <c r="A105" s="6" t="n">
        <v>104</v>
      </c>
      <c r="B105" s="7" t="s">
        <v>234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6277</v>
      </c>
      <c r="H105" s="9" t="n">
        <v>6277</v>
      </c>
      <c r="I105" s="10" t="n">
        <f aca="false">IF(E105=0,0,(E105-H105)/E105)</f>
        <v>-3.92700156985871</v>
      </c>
      <c r="J105" s="6" t="str">
        <f aca="false">IF(E105&lt;G105,"LOSS",IF(E105&lt;H105*1.1,"THIN / RISK",IF(E105&gt;H105*1.8,"OVERPRICED?","OK")))</f>
        <v>LOSS</v>
      </c>
      <c r="K105" s="8" t="n">
        <f aca="false">IF(J105="OVERPRICED?",ROUND(H105*1.35,-1),MAX(E105,ROUND(H105*(1+$E$3),-1)))</f>
        <v>7220</v>
      </c>
      <c r="L105" s="8" t="n">
        <f aca="false">D105*E105</f>
        <v>5096</v>
      </c>
      <c r="M105" s="8" t="n">
        <f aca="false">D105*K105</f>
        <v>28880</v>
      </c>
      <c r="N105" s="8" t="n">
        <f aca="false">D105*H105</f>
        <v>25108</v>
      </c>
      <c r="O105" s="6" t="str">
        <f aca="false">IF(ISNUMBER(SEARCH(C105,F105)),"","YES")</f>
        <v/>
      </c>
      <c r="P105" s="6" t="s">
        <v>24</v>
      </c>
      <c r="Q105" s="7" t="s">
        <v>235</v>
      </c>
      <c r="R105" s="7" t="s">
        <v>26</v>
      </c>
    </row>
    <row r="106" customFormat="false" ht="22.35" hidden="false" customHeight="false" outlineLevel="0" collapsed="false">
      <c r="A106" s="6" t="n">
        <v>105</v>
      </c>
      <c r="B106" s="7" t="s">
        <v>236</v>
      </c>
      <c r="C106" s="6" t="s">
        <v>22</v>
      </c>
      <c r="D106" s="6" t="n">
        <v>12</v>
      </c>
      <c r="E106" s="8" t="n">
        <v>1170</v>
      </c>
      <c r="F106" s="7" t="s">
        <v>237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33</v>
      </c>
      <c r="Q106" s="7" t="s">
        <v>238</v>
      </c>
      <c r="R106" s="7"/>
    </row>
    <row r="107" customFormat="false" ht="15" hidden="false" customHeight="false" outlineLevel="0" collapsed="false">
      <c r="A107" s="6" t="n">
        <v>106</v>
      </c>
      <c r="B107" s="7" t="s">
        <v>239</v>
      </c>
      <c r="C107" s="6" t="s">
        <v>28</v>
      </c>
      <c r="D107" s="6" t="n">
        <v>6</v>
      </c>
      <c r="E107" s="8" t="n">
        <v>3640</v>
      </c>
      <c r="F107" s="7" t="s">
        <v>42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33</v>
      </c>
      <c r="Q107" s="7" t="s">
        <v>240</v>
      </c>
      <c r="R107" s="7"/>
    </row>
    <row r="108" customFormat="false" ht="22.35" hidden="false" customHeight="false" outlineLevel="0" collapsed="false">
      <c r="A108" s="6" t="n">
        <v>107</v>
      </c>
      <c r="B108" s="7" t="s">
        <v>241</v>
      </c>
      <c r="C108" s="6" t="s">
        <v>28</v>
      </c>
      <c r="D108" s="6" t="n">
        <v>6</v>
      </c>
      <c r="E108" s="8" t="n">
        <v>6760</v>
      </c>
      <c r="F108" s="7" t="s">
        <v>77</v>
      </c>
      <c r="G108" s="9" t="n">
        <v>5226</v>
      </c>
      <c r="H108" s="9" t="n">
        <v>5226</v>
      </c>
      <c r="I108" s="10" t="n">
        <f aca="false">IF(E108=0,0,(E108-H108)/E108)</f>
        <v>0.226923076923077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6760</v>
      </c>
      <c r="L108" s="8" t="n">
        <f aca="false">D108*E108</f>
        <v>40560</v>
      </c>
      <c r="M108" s="8" t="n">
        <f aca="false">D108*K108</f>
        <v>40560</v>
      </c>
      <c r="N108" s="8" t="n">
        <f aca="false">D108*H108</f>
        <v>31356</v>
      </c>
      <c r="O108" s="6" t="str">
        <f aca="false">IF(ISNUMBER(SEARCH(C108,F108)),"","YES")</f>
        <v>YES</v>
      </c>
      <c r="P108" s="6" t="s">
        <v>33</v>
      </c>
      <c r="Q108" s="7" t="s">
        <v>242</v>
      </c>
      <c r="R108" s="7"/>
    </row>
    <row r="109" customFormat="false" ht="32.8" hidden="false" customHeight="false" outlineLevel="0" collapsed="false">
      <c r="A109" s="6" t="n">
        <v>108</v>
      </c>
      <c r="B109" s="7" t="s">
        <v>243</v>
      </c>
      <c r="C109" s="6" t="s">
        <v>28</v>
      </c>
      <c r="D109" s="6" t="n">
        <v>3</v>
      </c>
      <c r="E109" s="8" t="n">
        <v>4550</v>
      </c>
      <c r="F109" s="7" t="s">
        <v>42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33</v>
      </c>
      <c r="Q109" s="7" t="s">
        <v>244</v>
      </c>
      <c r="R109" s="7"/>
    </row>
    <row r="110" customFormat="false" ht="22.35" hidden="false" customHeight="false" outlineLevel="0" collapsed="false">
      <c r="A110" s="6" t="n">
        <v>109</v>
      </c>
      <c r="B110" s="7" t="s">
        <v>245</v>
      </c>
      <c r="C110" s="6" t="s">
        <v>28</v>
      </c>
      <c r="D110" s="6" t="n">
        <v>6</v>
      </c>
      <c r="E110" s="8" t="n">
        <v>2340</v>
      </c>
      <c r="F110" s="7" t="s">
        <v>77</v>
      </c>
      <c r="G110" s="9" t="n">
        <v>3651</v>
      </c>
      <c r="H110" s="9" t="n">
        <v>3651</v>
      </c>
      <c r="I110" s="10" t="n">
        <f aca="false">IF(E110=0,0,(E110-H110)/E110)</f>
        <v>-0.56025641025641</v>
      </c>
      <c r="J110" s="6" t="str">
        <f aca="false">IF(E110&lt;G110,"LOSS",IF(E110&lt;H110*1.1,"THIN / RISK",IF(E110&gt;H110*1.8,"OVERPRICED?","OK")))</f>
        <v>LOSS</v>
      </c>
      <c r="K110" s="8" t="n">
        <f aca="false">IF(J110="OVERPRICED?",ROUND(H110*1.35,-1),MAX(E110,ROUND(H110*(1+$E$3),-1)))</f>
        <v>4200</v>
      </c>
      <c r="L110" s="8" t="n">
        <f aca="false">D110*E110</f>
        <v>14040</v>
      </c>
      <c r="M110" s="8" t="n">
        <f aca="false">D110*K110</f>
        <v>25200</v>
      </c>
      <c r="N110" s="8" t="n">
        <f aca="false">D110*H110</f>
        <v>21906</v>
      </c>
      <c r="O110" s="6" t="str">
        <f aca="false">IF(ISNUMBER(SEARCH(C110,F110)),"","YES")</f>
        <v>YES</v>
      </c>
      <c r="P110" s="6" t="s">
        <v>33</v>
      </c>
      <c r="Q110" s="7" t="s">
        <v>246</v>
      </c>
      <c r="R110" s="7"/>
    </row>
    <row r="111" customFormat="false" ht="22.35" hidden="false" customHeight="false" outlineLevel="0" collapsed="false">
      <c r="A111" s="6" t="n">
        <v>110</v>
      </c>
      <c r="B111" s="7" t="s">
        <v>247</v>
      </c>
      <c r="C111" s="6" t="s">
        <v>28</v>
      </c>
      <c r="D111" s="6" t="n">
        <v>3</v>
      </c>
      <c r="E111" s="8" t="n">
        <v>1820</v>
      </c>
      <c r="F111" s="7" t="s">
        <v>167</v>
      </c>
      <c r="G111" s="9" t="n">
        <v>15399</v>
      </c>
      <c r="H111" s="9" t="n">
        <v>15399</v>
      </c>
      <c r="I111" s="10" t="n">
        <f aca="false">IF(E111=0,0,(E111-H111)/E111)</f>
        <v>-7.46098901098901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17710</v>
      </c>
      <c r="L111" s="8" t="n">
        <f aca="false">D111*E111</f>
        <v>5460</v>
      </c>
      <c r="M111" s="8" t="n">
        <f aca="false">D111*K111</f>
        <v>53130</v>
      </c>
      <c r="N111" s="8" t="n">
        <f aca="false">D111*H111</f>
        <v>46197</v>
      </c>
      <c r="O111" s="6" t="str">
        <f aca="false">IF(ISNUMBER(SEARCH(C111,F111)),"","YES")</f>
        <v>YES</v>
      </c>
      <c r="P111" s="6" t="s">
        <v>33</v>
      </c>
      <c r="Q111" s="7" t="s">
        <v>248</v>
      </c>
      <c r="R111" s="7"/>
    </row>
    <row r="112" customFormat="false" ht="22.35" hidden="false" customHeight="false" outlineLevel="0" collapsed="false">
      <c r="A112" s="6" t="n">
        <v>111</v>
      </c>
      <c r="B112" s="7" t="s">
        <v>249</v>
      </c>
      <c r="C112" s="6" t="s">
        <v>28</v>
      </c>
      <c r="D112" s="6" t="n">
        <v>3</v>
      </c>
      <c r="E112" s="8" t="n">
        <v>2860</v>
      </c>
      <c r="F112" s="7" t="s">
        <v>53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24</v>
      </c>
      <c r="Q112" s="7" t="s">
        <v>250</v>
      </c>
      <c r="R112" s="7" t="s">
        <v>26</v>
      </c>
    </row>
    <row r="113" customFormat="false" ht="22.35" hidden="false" customHeight="false" outlineLevel="0" collapsed="false">
      <c r="A113" s="6" t="n">
        <v>112</v>
      </c>
      <c r="B113" s="7" t="s">
        <v>251</v>
      </c>
      <c r="C113" s="6" t="s">
        <v>28</v>
      </c>
      <c r="D113" s="6" t="n">
        <v>2</v>
      </c>
      <c r="E113" s="8" t="n">
        <v>12350</v>
      </c>
      <c r="F113" s="7" t="s">
        <v>22</v>
      </c>
      <c r="G113" s="9" t="n">
        <v>8500</v>
      </c>
      <c r="H113" s="9" t="n">
        <v>8500</v>
      </c>
      <c r="I113" s="10" t="n">
        <f aca="false">IF(E113=0,0,(E113-H113)/E113)</f>
        <v>0.311740890688259</v>
      </c>
      <c r="J113" s="6" t="str">
        <f aca="false">IF(E113&lt;G113,"LOSS",IF(E113&lt;H113*1.1,"THIN / RISK",IF(E113&gt;H113*1.8,"OVERPRICED?","OK")))</f>
        <v>OK</v>
      </c>
      <c r="K113" s="8" t="n">
        <f aca="false">IF(J113="OVERPRICED?",ROUND(H113*1.35,-1),MAX(E113,ROUND(H113*(1+$E$3),-1)))</f>
        <v>12350</v>
      </c>
      <c r="L113" s="8" t="n">
        <f aca="false">D113*E113</f>
        <v>24700</v>
      </c>
      <c r="M113" s="8" t="n">
        <f aca="false">D113*K113</f>
        <v>24700</v>
      </c>
      <c r="N113" s="8" t="n">
        <f aca="false">D113*H113</f>
        <v>17000</v>
      </c>
      <c r="O113" s="6" t="str">
        <f aca="false">IF(ISNUMBER(SEARCH(C113,F113)),"","YES")</f>
        <v>YES</v>
      </c>
      <c r="P113" s="6" t="s">
        <v>33</v>
      </c>
      <c r="Q113" s="7" t="s">
        <v>252</v>
      </c>
      <c r="R113" s="7"/>
    </row>
    <row r="114" customFormat="false" ht="15" hidden="false" customHeight="false" outlineLevel="0" collapsed="false">
      <c r="A114" s="6" t="n">
        <v>113</v>
      </c>
      <c r="B114" s="7" t="s">
        <v>253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1600</v>
      </c>
      <c r="H114" s="9" t="n">
        <v>1600</v>
      </c>
      <c r="I114" s="10" t="n">
        <f aca="false">IF(E114=0,0,(E114-H114)/E114)</f>
        <v>-0.0256410256410256</v>
      </c>
      <c r="J114" s="6" t="str">
        <f aca="false">IF(E114&lt;G114,"LOSS",IF(E114&lt;H114*1.1,"THIN / RISK",IF(E114&gt;H114*1.8,"OVERPRICED?","OK")))</f>
        <v>LOSS</v>
      </c>
      <c r="K114" s="8" t="n">
        <f aca="false">IF(J114="OVERPRICED?",ROUND(H114*1.35,-1),MAX(E114,ROUND(H114*(1+$E$3),-1)))</f>
        <v>1840</v>
      </c>
      <c r="L114" s="8" t="n">
        <f aca="false">D114*E114</f>
        <v>4680</v>
      </c>
      <c r="M114" s="8" t="n">
        <f aca="false">D114*K114</f>
        <v>5520</v>
      </c>
      <c r="N114" s="8" t="n">
        <f aca="false">D114*H114</f>
        <v>4800</v>
      </c>
      <c r="O114" s="6" t="str">
        <f aca="false">IF(ISNUMBER(SEARCH(C114,F114)),"","YES")</f>
        <v>YES</v>
      </c>
      <c r="P114" s="6" t="s">
        <v>33</v>
      </c>
      <c r="Q114" s="7" t="s">
        <v>254</v>
      </c>
      <c r="R114" s="7"/>
    </row>
    <row r="115" customFormat="false" ht="15" hidden="false" customHeight="false" outlineLevel="0" collapsed="false">
      <c r="A115" s="6" t="n">
        <v>114</v>
      </c>
      <c r="B115" s="7" t="s">
        <v>255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1600</v>
      </c>
      <c r="H115" s="9" t="n">
        <v>1600</v>
      </c>
      <c r="I115" s="10" t="n">
        <f aca="false">IF(E115=0,0,(E115-H115)/E115)</f>
        <v>0.17948717948718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4800</v>
      </c>
      <c r="O115" s="6" t="str">
        <f aca="false">IF(ISNUMBER(SEARCH(C115,F115)),"","YES")</f>
        <v>YES</v>
      </c>
      <c r="P115" s="6" t="s">
        <v>33</v>
      </c>
      <c r="Q115" s="7" t="s">
        <v>254</v>
      </c>
      <c r="R115" s="7"/>
    </row>
    <row r="116" customFormat="false" ht="22.35" hidden="false" customHeight="false" outlineLevel="0" collapsed="false">
      <c r="A116" s="6" t="n">
        <v>115</v>
      </c>
      <c r="B116" s="7" t="s">
        <v>256</v>
      </c>
      <c r="C116" s="6" t="s">
        <v>22</v>
      </c>
      <c r="D116" s="6" t="n">
        <v>2</v>
      </c>
      <c r="E116" s="8" t="n">
        <v>11050</v>
      </c>
      <c r="F116" s="7" t="s">
        <v>257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33</v>
      </c>
      <c r="Q116" s="7" t="s">
        <v>258</v>
      </c>
      <c r="R116" s="7"/>
    </row>
    <row r="117" customFormat="false" ht="22.35" hidden="false" customHeight="false" outlineLevel="0" collapsed="false">
      <c r="A117" s="6" t="n">
        <v>116</v>
      </c>
      <c r="B117" s="7" t="s">
        <v>259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12150</v>
      </c>
      <c r="H117" s="9" t="n">
        <v>12150</v>
      </c>
      <c r="I117" s="10" t="n">
        <f aca="false">IF(E117=0,0,(E117-H117)/E117)</f>
        <v>-0.0995475113122172</v>
      </c>
      <c r="J117" s="6" t="str">
        <f aca="false">IF(E117&lt;G117,"LOSS",IF(E117&lt;H117*1.1,"THIN / RISK",IF(E117&gt;H117*1.8,"OVERPRICED?","OK")))</f>
        <v>LOSS</v>
      </c>
      <c r="K117" s="8" t="n">
        <f aca="false">IF(J117="OVERPRICED?",ROUND(H117*1.35,-1),MAX(E117,ROUND(H117*(1+$E$3),-1)))</f>
        <v>13970</v>
      </c>
      <c r="L117" s="8" t="n">
        <f aca="false">D117*E117</f>
        <v>22100</v>
      </c>
      <c r="M117" s="8" t="n">
        <f aca="false">D117*K117</f>
        <v>27940</v>
      </c>
      <c r="N117" s="8" t="n">
        <f aca="false">D117*H117</f>
        <v>24300</v>
      </c>
      <c r="O117" s="6" t="str">
        <f aca="false">IF(ISNUMBER(SEARCH(C117,F117)),"","YES")</f>
        <v>YES</v>
      </c>
      <c r="P117" s="6" t="s">
        <v>33</v>
      </c>
      <c r="Q117" s="7" t="s">
        <v>260</v>
      </c>
      <c r="R117" s="7"/>
    </row>
    <row r="118" customFormat="false" ht="22.35" hidden="false" customHeight="false" outlineLevel="0" collapsed="false">
      <c r="A118" s="6" t="n">
        <v>117</v>
      </c>
      <c r="B118" s="7" t="s">
        <v>261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216</v>
      </c>
      <c r="H118" s="9" t="n">
        <v>216</v>
      </c>
      <c r="I118" s="10" t="n">
        <f aca="false">IF(E118=0,0,(E118-H118)/E118)</f>
        <v>0.630769230769231</v>
      </c>
      <c r="J118" s="6" t="str">
        <f aca="false">IF(E118&lt;G118,"LOSS",IF(E118&lt;H118*1.1,"THIN / RISK",IF(E118&gt;H118*1.8,"OVERPRICED?","OK")))</f>
        <v>OVERPRICED?</v>
      </c>
      <c r="K118" s="8" t="n">
        <f aca="false">IF(J118="OVERPRICED?",ROUND(H118*1.35,-1),MAX(E118,ROUND(H118*(1+$E$3),-1)))</f>
        <v>290</v>
      </c>
      <c r="L118" s="8" t="n">
        <f aca="false">D118*E118</f>
        <v>8775</v>
      </c>
      <c r="M118" s="8" t="n">
        <f aca="false">D118*K118</f>
        <v>4350</v>
      </c>
      <c r="N118" s="8" t="n">
        <f aca="false">D118*H118</f>
        <v>3240</v>
      </c>
      <c r="O118" s="6" t="str">
        <f aca="false">IF(ISNUMBER(SEARCH(C118,F118)),"","YES")</f>
        <v/>
      </c>
      <c r="P118" s="6" t="s">
        <v>24</v>
      </c>
      <c r="Q118" s="7" t="s">
        <v>262</v>
      </c>
      <c r="R118" s="7" t="s">
        <v>26</v>
      </c>
    </row>
    <row r="119" customFormat="false" ht="22.35" hidden="false" customHeight="false" outlineLevel="0" collapsed="false">
      <c r="A119" s="6" t="n">
        <v>118</v>
      </c>
      <c r="B119" s="7" t="s">
        <v>263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216</v>
      </c>
      <c r="H119" s="9" t="n">
        <v>216</v>
      </c>
      <c r="I119" s="10" t="n">
        <f aca="false">IF(E119=0,0,(E119-H119)/E119)</f>
        <v>0.630769230769231</v>
      </c>
      <c r="J119" s="6" t="str">
        <f aca="false">IF(E119&lt;G119,"LOSS",IF(E119&lt;H119*1.1,"THIN / RISK",IF(E119&gt;H119*1.8,"OVERPRICED?","OK")))</f>
        <v>OVERPRICED?</v>
      </c>
      <c r="K119" s="8" t="n">
        <f aca="false">IF(J119="OVERPRICED?",ROUND(H119*1.35,-1),MAX(E119,ROUND(H119*(1+$E$3),-1)))</f>
        <v>290</v>
      </c>
      <c r="L119" s="8" t="n">
        <f aca="false">D119*E119</f>
        <v>8775</v>
      </c>
      <c r="M119" s="8" t="n">
        <f aca="false">D119*K119</f>
        <v>4350</v>
      </c>
      <c r="N119" s="8" t="n">
        <f aca="false">D119*H119</f>
        <v>3240</v>
      </c>
      <c r="O119" s="6" t="str">
        <f aca="false">IF(ISNUMBER(SEARCH(C119,F119)),"","YES")</f>
        <v/>
      </c>
      <c r="P119" s="6" t="s">
        <v>24</v>
      </c>
      <c r="Q119" s="7" t="s">
        <v>262</v>
      </c>
      <c r="R119" s="7" t="s">
        <v>26</v>
      </c>
    </row>
    <row r="120" customFormat="false" ht="32.8" hidden="false" customHeight="false" outlineLevel="0" collapsed="false">
      <c r="A120" s="6" t="n">
        <v>119</v>
      </c>
      <c r="B120" s="7" t="s">
        <v>264</v>
      </c>
      <c r="C120" s="6" t="s">
        <v>28</v>
      </c>
      <c r="D120" s="6" t="n">
        <v>2</v>
      </c>
      <c r="E120" s="8" t="n">
        <v>910</v>
      </c>
      <c r="F120" s="7" t="s">
        <v>265</v>
      </c>
      <c r="G120" s="9" t="n">
        <v>2243</v>
      </c>
      <c r="H120" s="9" t="n">
        <v>2243</v>
      </c>
      <c r="I120" s="10" t="n">
        <f aca="false">IF(E120=0,0,(E120-H120)/E120)</f>
        <v>-1.46483516483516</v>
      </c>
      <c r="J120" s="6" t="str">
        <f aca="false">IF(E120&lt;G120,"LOSS",IF(E120&lt;H120*1.1,"THIN / RISK",IF(E120&gt;H120*1.8,"OVERPRICED?","OK")))</f>
        <v>LOSS</v>
      </c>
      <c r="K120" s="8" t="n">
        <f aca="false">IF(J120="OVERPRICED?",ROUND(H120*1.35,-1),MAX(E120,ROUND(H120*(1+$E$3),-1)))</f>
        <v>2580</v>
      </c>
      <c r="L120" s="8" t="n">
        <f aca="false">D120*E120</f>
        <v>1820</v>
      </c>
      <c r="M120" s="8" t="n">
        <f aca="false">D120*K120</f>
        <v>5160</v>
      </c>
      <c r="N120" s="8" t="n">
        <f aca="false">D120*H120</f>
        <v>4486</v>
      </c>
      <c r="O120" s="6" t="str">
        <f aca="false">IF(ISNUMBER(SEARCH(C120,F120)),"","YES")</f>
        <v>YES</v>
      </c>
      <c r="P120" s="6" t="s">
        <v>33</v>
      </c>
      <c r="Q120" s="7" t="s">
        <v>266</v>
      </c>
      <c r="R120" s="7"/>
    </row>
    <row r="121" customFormat="false" ht="22.35" hidden="false" customHeight="false" outlineLevel="0" collapsed="false">
      <c r="A121" s="6" t="n">
        <v>120</v>
      </c>
      <c r="B121" s="7" t="s">
        <v>267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495</v>
      </c>
      <c r="H121" s="9" t="n">
        <v>495</v>
      </c>
      <c r="I121" s="10" t="n">
        <f aca="false">IF(E121=0,0,(E121-H121)/E121)</f>
        <v>0.456043956043956</v>
      </c>
      <c r="J121" s="6" t="str">
        <f aca="false">IF(E121&lt;G121,"LOSS",IF(E121&lt;H121*1.1,"THIN / RISK",IF(E121&gt;H121*1.8,"OVERPRICED?","OK")))</f>
        <v>OVERPRICED?</v>
      </c>
      <c r="K121" s="8" t="n">
        <f aca="false">IF(J121="OVERPRICED?",ROUND(H121*1.35,-1),MAX(E121,ROUND(H121*(1+$E$3),-1)))</f>
        <v>670</v>
      </c>
      <c r="L121" s="8" t="n">
        <f aca="false">D121*E121</f>
        <v>5460</v>
      </c>
      <c r="M121" s="8" t="n">
        <f aca="false">D121*K121</f>
        <v>4020</v>
      </c>
      <c r="N121" s="8" t="n">
        <f aca="false">D121*H121</f>
        <v>2970</v>
      </c>
      <c r="O121" s="6" t="str">
        <f aca="false">IF(ISNUMBER(SEARCH(C121,F121)),"","YES")</f>
        <v/>
      </c>
      <c r="P121" s="6" t="s">
        <v>33</v>
      </c>
      <c r="Q121" s="7" t="s">
        <v>268</v>
      </c>
      <c r="R121" s="7"/>
    </row>
    <row r="122" customFormat="false" ht="22.35" hidden="false" customHeight="false" outlineLevel="0" collapsed="false">
      <c r="A122" s="6" t="n">
        <v>121</v>
      </c>
      <c r="B122" s="7" t="s">
        <v>269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33</v>
      </c>
      <c r="Q122" s="7" t="s">
        <v>270</v>
      </c>
      <c r="R122" s="7"/>
    </row>
    <row r="123" customFormat="false" ht="32.8" hidden="false" customHeight="false" outlineLevel="0" collapsed="false">
      <c r="A123" s="6" t="n">
        <v>122</v>
      </c>
      <c r="B123" s="7" t="s">
        <v>271</v>
      </c>
      <c r="C123" s="6" t="s">
        <v>22</v>
      </c>
      <c r="D123" s="6" t="n">
        <v>1</v>
      </c>
      <c r="E123" s="8" t="n">
        <v>357500</v>
      </c>
      <c r="F123" s="7" t="s">
        <v>272</v>
      </c>
      <c r="G123" s="9" t="n">
        <v>126000</v>
      </c>
      <c r="H123" s="9" t="n">
        <v>126000</v>
      </c>
      <c r="I123" s="10" t="n">
        <f aca="false">IF(E123=0,0,(E123-H123)/E123)</f>
        <v>0.647552447552448</v>
      </c>
      <c r="J123" s="6" t="str">
        <f aca="false">IF(E123&lt;G123,"LOSS",IF(E123&lt;H123*1.1,"THIN / RISK",IF(E123&gt;H123*1.8,"OVERPRICED?","OK")))</f>
        <v>OVERPRICED?</v>
      </c>
      <c r="K123" s="8" t="n">
        <f aca="false">IF(J123="OVERPRICED?",ROUND(H123*1.35,-1),MAX(E123,ROUND(H123*(1+$E$3),-1)))</f>
        <v>170100</v>
      </c>
      <c r="L123" s="8" t="n">
        <f aca="false">D123*E123</f>
        <v>357500</v>
      </c>
      <c r="M123" s="8" t="n">
        <f aca="false">D123*K123</f>
        <v>170100</v>
      </c>
      <c r="N123" s="8" t="n">
        <f aca="false">D123*H123</f>
        <v>126000</v>
      </c>
      <c r="O123" s="6" t="str">
        <f aca="false">IF(ISNUMBER(SEARCH(C123,F123)),"","YES")</f>
        <v>YES</v>
      </c>
      <c r="P123" s="6" t="s">
        <v>24</v>
      </c>
      <c r="Q123" s="7" t="s">
        <v>273</v>
      </c>
      <c r="R123" s="7" t="s">
        <v>26</v>
      </c>
    </row>
    <row r="124" customFormat="false" ht="32.8" hidden="false" customHeight="false" outlineLevel="0" collapsed="false">
      <c r="A124" s="6" t="n">
        <v>123</v>
      </c>
      <c r="B124" s="7" t="s">
        <v>274</v>
      </c>
      <c r="C124" s="6" t="s">
        <v>22</v>
      </c>
      <c r="D124" s="6" t="n">
        <v>2</v>
      </c>
      <c r="E124" s="8" t="n">
        <v>23400</v>
      </c>
      <c r="F124" s="7" t="s">
        <v>39</v>
      </c>
      <c r="G124" s="9" t="n">
        <v>25052</v>
      </c>
      <c r="H124" s="9" t="n">
        <v>25052</v>
      </c>
      <c r="I124" s="10" t="n">
        <f aca="false">IF(E124=0,0,(E124-H124)/E124)</f>
        <v>-0.0705982905982906</v>
      </c>
      <c r="J124" s="6" t="str">
        <f aca="false">IF(E124&lt;G124,"LOSS",IF(E124&lt;H124*1.1,"THIN / RISK",IF(E124&gt;H124*1.8,"OVERPRICED?","OK")))</f>
        <v>LOSS</v>
      </c>
      <c r="K124" s="8" t="n">
        <f aca="false">IF(J124="OVERPRICED?",ROUND(H124*1.35,-1),MAX(E124,ROUND(H124*(1+$E$3),-1)))</f>
        <v>28810</v>
      </c>
      <c r="L124" s="8" t="n">
        <f aca="false">D124*E124</f>
        <v>46800</v>
      </c>
      <c r="M124" s="8" t="n">
        <f aca="false">D124*K124</f>
        <v>57620</v>
      </c>
      <c r="N124" s="8" t="n">
        <f aca="false">D124*H124</f>
        <v>50104</v>
      </c>
      <c r="O124" s="6" t="str">
        <f aca="false">IF(ISNUMBER(SEARCH(C124,F124)),"","YES")</f>
        <v>YES</v>
      </c>
      <c r="P124" s="6" t="s">
        <v>24</v>
      </c>
      <c r="Q124" s="7" t="s">
        <v>275</v>
      </c>
      <c r="R124" s="7" t="s">
        <v>26</v>
      </c>
    </row>
    <row r="125" customFormat="false" ht="32.8" hidden="false" customHeight="false" outlineLevel="0" collapsed="false">
      <c r="A125" s="6" t="n">
        <v>124</v>
      </c>
      <c r="B125" s="7" t="s">
        <v>276</v>
      </c>
      <c r="C125" s="6" t="s">
        <v>22</v>
      </c>
      <c r="D125" s="6" t="n">
        <v>2</v>
      </c>
      <c r="E125" s="8" t="n">
        <v>4550</v>
      </c>
      <c r="F125" s="7" t="s">
        <v>39</v>
      </c>
      <c r="G125" s="9" t="n">
        <v>6941</v>
      </c>
      <c r="H125" s="9" t="n">
        <v>6941</v>
      </c>
      <c r="I125" s="10" t="n">
        <f aca="false">IF(E125=0,0,(E125-H125)/E125)</f>
        <v>-0.525494505494506</v>
      </c>
      <c r="J125" s="6" t="str">
        <f aca="false">IF(E125&lt;G125,"LOSS",IF(E125&lt;H125*1.1,"THIN / RISK",IF(E125&gt;H125*1.8,"OVERPRICED?","OK")))</f>
        <v>LOSS</v>
      </c>
      <c r="K125" s="8" t="n">
        <f aca="false">IF(J125="OVERPRICED?",ROUND(H125*1.35,-1),MAX(E125,ROUND(H125*(1+$E$3),-1)))</f>
        <v>7980</v>
      </c>
      <c r="L125" s="8" t="n">
        <f aca="false">D125*E125</f>
        <v>9100</v>
      </c>
      <c r="M125" s="8" t="n">
        <f aca="false">D125*K125</f>
        <v>15960</v>
      </c>
      <c r="N125" s="8" t="n">
        <f aca="false">D125*H125</f>
        <v>13882</v>
      </c>
      <c r="O125" s="6" t="str">
        <f aca="false">IF(ISNUMBER(SEARCH(C125,F125)),"","YES")</f>
        <v>YES</v>
      </c>
      <c r="P125" s="6" t="s">
        <v>33</v>
      </c>
      <c r="Q125" s="7" t="s">
        <v>277</v>
      </c>
      <c r="R125" s="7"/>
    </row>
    <row r="126" customFormat="false" ht="22.35" hidden="false" customHeight="false" outlineLevel="0" collapsed="false">
      <c r="A126" s="6" t="n">
        <v>125</v>
      </c>
      <c r="B126" s="7" t="s">
        <v>278</v>
      </c>
      <c r="C126" s="6" t="s">
        <v>22</v>
      </c>
      <c r="D126" s="6" t="n">
        <v>12</v>
      </c>
      <c r="E126" s="8" t="n">
        <v>585</v>
      </c>
      <c r="F126" s="7" t="s">
        <v>39</v>
      </c>
      <c r="G126" s="9" t="n">
        <v>826</v>
      </c>
      <c r="H126" s="9" t="n">
        <v>826</v>
      </c>
      <c r="I126" s="10" t="n">
        <f aca="false">IF(E126=0,0,(E126-H126)/E126)</f>
        <v>-0.411965811965812</v>
      </c>
      <c r="J126" s="6" t="str">
        <f aca="false">IF(E126&lt;G126,"LOSS",IF(E126&lt;H126*1.1,"THIN / RISK",IF(E126&gt;H126*1.8,"OVERPRICED?","OK")))</f>
        <v>LOSS</v>
      </c>
      <c r="K126" s="8" t="n">
        <f aca="false">IF(J126="OVERPRICED?",ROUND(H126*1.35,-1),MAX(E126,ROUND(H126*(1+$E$3),-1)))</f>
        <v>950</v>
      </c>
      <c r="L126" s="8" t="n">
        <f aca="false">D126*E126</f>
        <v>7020</v>
      </c>
      <c r="M126" s="8" t="n">
        <f aca="false">D126*K126</f>
        <v>11400</v>
      </c>
      <c r="N126" s="8" t="n">
        <f aca="false">D126*H126</f>
        <v>9912</v>
      </c>
      <c r="O126" s="6" t="str">
        <f aca="false">IF(ISNUMBER(SEARCH(C126,F126)),"","YES")</f>
        <v>YES</v>
      </c>
      <c r="P126" s="6" t="s">
        <v>33</v>
      </c>
      <c r="Q126" s="7" t="s">
        <v>279</v>
      </c>
      <c r="R126" s="7"/>
    </row>
    <row r="127" customFormat="false" ht="22.35" hidden="false" customHeight="false" outlineLevel="0" collapsed="false">
      <c r="A127" s="6" t="n">
        <v>126</v>
      </c>
      <c r="B127" s="7" t="s">
        <v>280</v>
      </c>
      <c r="C127" s="6" t="s">
        <v>22</v>
      </c>
      <c r="D127" s="6" t="n">
        <v>12</v>
      </c>
      <c r="E127" s="8" t="n">
        <v>780</v>
      </c>
      <c r="F127" s="7" t="s">
        <v>39</v>
      </c>
      <c r="G127" s="9" t="n">
        <v>767</v>
      </c>
      <c r="H127" s="9" t="n">
        <v>767</v>
      </c>
      <c r="I127" s="10" t="n">
        <f aca="false">IF(E127=0,0,(E127-H127)/E127)</f>
        <v>0.0166666666666667</v>
      </c>
      <c r="J127" s="6" t="str">
        <f aca="false">IF(E127&lt;G127,"LOSS",IF(E127&lt;H127*1.1,"THIN / RISK",IF(E127&gt;H127*1.8,"OVERPRICED?","OK")))</f>
        <v>THIN / RISK</v>
      </c>
      <c r="K127" s="8" t="n">
        <f aca="false">IF(J127="OVERPRICED?",ROUND(H127*1.35,-1),MAX(E127,ROUND(H127*(1+$E$3),-1)))</f>
        <v>880</v>
      </c>
      <c r="L127" s="8" t="n">
        <f aca="false">D127*E127</f>
        <v>9360</v>
      </c>
      <c r="M127" s="8" t="n">
        <f aca="false">D127*K127</f>
        <v>10560</v>
      </c>
      <c r="N127" s="8" t="n">
        <f aca="false">D127*H127</f>
        <v>9204</v>
      </c>
      <c r="O127" s="6" t="str">
        <f aca="false">IF(ISNUMBER(SEARCH(C127,F127)),"","YES")</f>
        <v>YES</v>
      </c>
      <c r="P127" s="6" t="s">
        <v>33</v>
      </c>
      <c r="Q127" s="7" t="s">
        <v>281</v>
      </c>
      <c r="R127" s="7"/>
    </row>
    <row r="128" customFormat="false" ht="22.35" hidden="false" customHeight="false" outlineLevel="0" collapsed="false">
      <c r="A128" s="6" t="n">
        <v>127</v>
      </c>
      <c r="B128" s="7" t="s">
        <v>282</v>
      </c>
      <c r="C128" s="6" t="s">
        <v>22</v>
      </c>
      <c r="D128" s="6" t="n">
        <v>6</v>
      </c>
      <c r="E128" s="8" t="n">
        <v>455</v>
      </c>
      <c r="F128" s="7" t="s">
        <v>39</v>
      </c>
      <c r="G128" s="9" t="n">
        <v>397</v>
      </c>
      <c r="H128" s="9" t="n">
        <v>397</v>
      </c>
      <c r="I128" s="10" t="n">
        <f aca="false">IF(E128=0,0,(E128-H128)/E128)</f>
        <v>0.127472527472527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460</v>
      </c>
      <c r="L128" s="8" t="n">
        <f aca="false">D128*E128</f>
        <v>2730</v>
      </c>
      <c r="M128" s="8" t="n">
        <f aca="false">D128*K128</f>
        <v>2760</v>
      </c>
      <c r="N128" s="8" t="n">
        <f aca="false">D128*H128</f>
        <v>2382</v>
      </c>
      <c r="O128" s="6" t="str">
        <f aca="false">IF(ISNUMBER(SEARCH(C128,F128)),"","YES")</f>
        <v>YES</v>
      </c>
      <c r="P128" s="6" t="s">
        <v>33</v>
      </c>
      <c r="Q128" s="7" t="s">
        <v>283</v>
      </c>
      <c r="R128" s="7"/>
    </row>
    <row r="129" customFormat="false" ht="22.35" hidden="false" customHeight="false" outlineLevel="0" collapsed="false">
      <c r="A129" s="6" t="n">
        <v>128</v>
      </c>
      <c r="B129" s="7" t="s">
        <v>284</v>
      </c>
      <c r="C129" s="6" t="s">
        <v>22</v>
      </c>
      <c r="D129" s="6" t="n">
        <v>6</v>
      </c>
      <c r="E129" s="8" t="n">
        <v>455</v>
      </c>
      <c r="F129" s="7" t="s">
        <v>39</v>
      </c>
      <c r="G129" s="9" t="n">
        <v>397</v>
      </c>
      <c r="H129" s="9" t="n">
        <v>397</v>
      </c>
      <c r="I129" s="10" t="n">
        <f aca="false">IF(E129=0,0,(E129-H129)/E129)</f>
        <v>0.127472527472527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460</v>
      </c>
      <c r="L129" s="8" t="n">
        <f aca="false">D129*E129</f>
        <v>2730</v>
      </c>
      <c r="M129" s="8" t="n">
        <f aca="false">D129*K129</f>
        <v>2760</v>
      </c>
      <c r="N129" s="8" t="n">
        <f aca="false">D129*H129</f>
        <v>2382</v>
      </c>
      <c r="O129" s="6" t="str">
        <f aca="false">IF(ISNUMBER(SEARCH(C129,F129)),"","YES")</f>
        <v>YES</v>
      </c>
      <c r="P129" s="6" t="s">
        <v>24</v>
      </c>
      <c r="Q129" s="7" t="s">
        <v>285</v>
      </c>
      <c r="R129" s="7" t="s">
        <v>26</v>
      </c>
    </row>
    <row r="130" customFormat="false" ht="22.35" hidden="false" customHeight="false" outlineLevel="0" collapsed="false">
      <c r="A130" s="6" t="n">
        <v>129</v>
      </c>
      <c r="B130" s="7" t="s">
        <v>286</v>
      </c>
      <c r="C130" s="6" t="s">
        <v>22</v>
      </c>
      <c r="D130" s="6" t="n">
        <v>6</v>
      </c>
      <c r="E130" s="8" t="n">
        <v>455</v>
      </c>
      <c r="F130" s="7" t="s">
        <v>39</v>
      </c>
      <c r="G130" s="9" t="n">
        <v>397</v>
      </c>
      <c r="H130" s="9" t="n">
        <v>397</v>
      </c>
      <c r="I130" s="10" t="n">
        <f aca="false">IF(E130=0,0,(E130-H130)/E130)</f>
        <v>0.127472527472527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460</v>
      </c>
      <c r="L130" s="8" t="n">
        <f aca="false">D130*E130</f>
        <v>2730</v>
      </c>
      <c r="M130" s="8" t="n">
        <f aca="false">D130*K130</f>
        <v>2760</v>
      </c>
      <c r="N130" s="8" t="n">
        <f aca="false">D130*H130</f>
        <v>2382</v>
      </c>
      <c r="O130" s="6" t="str">
        <f aca="false">IF(ISNUMBER(SEARCH(C130,F130)),"","YES")</f>
        <v>YES</v>
      </c>
      <c r="P130" s="6" t="s">
        <v>24</v>
      </c>
      <c r="Q130" s="7" t="s">
        <v>287</v>
      </c>
      <c r="R130" s="7" t="s">
        <v>26</v>
      </c>
    </row>
    <row r="131" customFormat="false" ht="22.35" hidden="false" customHeight="false" outlineLevel="0" collapsed="false">
      <c r="A131" s="6" t="n">
        <v>130</v>
      </c>
      <c r="B131" s="7" t="s">
        <v>288</v>
      </c>
      <c r="C131" s="6" t="s">
        <v>22</v>
      </c>
      <c r="D131" s="6" t="n">
        <v>6</v>
      </c>
      <c r="E131" s="8" t="n">
        <v>2340</v>
      </c>
      <c r="F131" s="7" t="s">
        <v>39</v>
      </c>
      <c r="G131" s="9" t="n">
        <v>6521</v>
      </c>
      <c r="H131" s="9" t="n">
        <v>6521</v>
      </c>
      <c r="I131" s="10" t="n">
        <f aca="false">IF(E131=0,0,(E131-H131)/E131)</f>
        <v>-1.78675213675214</v>
      </c>
      <c r="J131" s="6" t="str">
        <f aca="false">IF(E131&lt;G131,"LOSS",IF(E131&lt;H131*1.1,"THIN / RISK",IF(E131&gt;H131*1.8,"OVERPRICED?","OK")))</f>
        <v>LOSS</v>
      </c>
      <c r="K131" s="8" t="n">
        <f aca="false">IF(J131="OVERPRICED?",ROUND(H131*1.35,-1),MAX(E131,ROUND(H131*(1+$E$3),-1)))</f>
        <v>7500</v>
      </c>
      <c r="L131" s="8" t="n">
        <f aca="false">D131*E131</f>
        <v>14040</v>
      </c>
      <c r="M131" s="8" t="n">
        <f aca="false">D131*K131</f>
        <v>45000</v>
      </c>
      <c r="N131" s="8" t="n">
        <f aca="false">D131*H131</f>
        <v>39126</v>
      </c>
      <c r="O131" s="6" t="str">
        <f aca="false">IF(ISNUMBER(SEARCH(C131,F131)),"","YES")</f>
        <v>YES</v>
      </c>
      <c r="P131" s="6" t="s">
        <v>33</v>
      </c>
      <c r="Q131" s="7" t="s">
        <v>289</v>
      </c>
      <c r="R131" s="7"/>
    </row>
    <row r="132" customFormat="false" ht="15" hidden="false" customHeight="false" outlineLevel="0" collapsed="false">
      <c r="A132" s="6" t="n">
        <v>131</v>
      </c>
      <c r="B132" s="7" t="s">
        <v>290</v>
      </c>
      <c r="C132" s="6" t="s">
        <v>22</v>
      </c>
      <c r="D132" s="6" t="n">
        <v>2</v>
      </c>
      <c r="E132" s="8" t="n">
        <v>7800</v>
      </c>
      <c r="F132" s="7" t="s">
        <v>291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33</v>
      </c>
      <c r="Q132" s="7" t="s">
        <v>292</v>
      </c>
      <c r="R132" s="7"/>
    </row>
    <row r="133" customFormat="false" ht="22.35" hidden="false" customHeight="false" outlineLevel="0" collapsed="false">
      <c r="A133" s="6" t="n">
        <v>132</v>
      </c>
      <c r="B133" s="7" t="s">
        <v>293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216</v>
      </c>
      <c r="H133" s="9" t="n">
        <v>216</v>
      </c>
      <c r="I133" s="10" t="n">
        <f aca="false">IF(E133=0,0,(E133-H133)/E133)</f>
        <v>0.525274725274725</v>
      </c>
      <c r="J133" s="6" t="str">
        <f aca="false">IF(E133&lt;G133,"LOSS",IF(E133&lt;H133*1.1,"THIN / RISK",IF(E133&gt;H133*1.8,"OVERPRICED?","OK")))</f>
        <v>OVERPRICED?</v>
      </c>
      <c r="K133" s="8" t="n">
        <f aca="false">IF(J133="OVERPRICED?",ROUND(H133*1.35,-1),MAX(E133,ROUND(H133*(1+$E$3),-1)))</f>
        <v>290</v>
      </c>
      <c r="L133" s="8" t="n">
        <f aca="false">D133*E133</f>
        <v>4550</v>
      </c>
      <c r="M133" s="8" t="n">
        <f aca="false">D133*K133</f>
        <v>2900</v>
      </c>
      <c r="N133" s="8" t="n">
        <f aca="false">D133*H133</f>
        <v>2160</v>
      </c>
      <c r="O133" s="6" t="str">
        <f aca="false">IF(ISNUMBER(SEARCH(C133,F133)),"","YES")</f>
        <v/>
      </c>
      <c r="P133" s="6" t="s">
        <v>24</v>
      </c>
      <c r="Q133" s="7" t="s">
        <v>294</v>
      </c>
      <c r="R133" s="7" t="s">
        <v>26</v>
      </c>
    </row>
    <row r="134" customFormat="false" ht="22.35" hidden="false" customHeight="false" outlineLevel="0" collapsed="false">
      <c r="A134" s="6" t="n">
        <v>133</v>
      </c>
      <c r="B134" s="7" t="s">
        <v>295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338</v>
      </c>
      <c r="H134" s="9" t="n">
        <v>338</v>
      </c>
      <c r="I134" s="10" t="n">
        <f aca="false">IF(E134=0,0,(E134-H134)/E134)</f>
        <v>0.48</v>
      </c>
      <c r="J134" s="6" t="str">
        <f aca="false">IF(E134&lt;G134,"LOSS",IF(E134&lt;H134*1.1,"THIN / RISK",IF(E134&gt;H134*1.8,"OVERPRICED?","OK")))</f>
        <v>OVERPRICED?</v>
      </c>
      <c r="K134" s="8" t="n">
        <f aca="false">IF(J134="OVERPRICED?",ROUND(H134*1.35,-1),MAX(E134,ROUND(H134*(1+$E$3),-1)))</f>
        <v>460</v>
      </c>
      <c r="L134" s="8" t="n">
        <f aca="false">D134*E134</f>
        <v>3900</v>
      </c>
      <c r="M134" s="8" t="n">
        <f aca="false">D134*K134</f>
        <v>2760</v>
      </c>
      <c r="N134" s="8" t="n">
        <f aca="false">D134*H134</f>
        <v>2028</v>
      </c>
      <c r="O134" s="6" t="str">
        <f aca="false">IF(ISNUMBER(SEARCH(C134,F134)),"","YES")</f>
        <v>YES</v>
      </c>
      <c r="P134" s="6" t="s">
        <v>33</v>
      </c>
      <c r="Q134" s="7" t="s">
        <v>296</v>
      </c>
      <c r="R134" s="7"/>
    </row>
    <row r="135" customFormat="false" ht="22.35" hidden="false" customHeight="false" outlineLevel="0" collapsed="false">
      <c r="A135" s="6" t="n">
        <v>134</v>
      </c>
      <c r="B135" s="7" t="s">
        <v>297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1125</v>
      </c>
      <c r="H135" s="9" t="n">
        <v>1125</v>
      </c>
      <c r="I135" s="10" t="n">
        <f aca="false">IF(E135=0,0,(E135-H135)/E135)</f>
        <v>-0.0817307692307692</v>
      </c>
      <c r="J135" s="6" t="str">
        <f aca="false">IF(E135&lt;G135,"LOSS",IF(E135&lt;H135*1.1,"THIN / RISK",IF(E135&gt;H135*1.8,"OVERPRICED?","OK")))</f>
        <v>LOSS</v>
      </c>
      <c r="K135" s="8" t="n">
        <f aca="false">IF(J135="OVERPRICED?",ROUND(H135*1.35,-1),MAX(E135,ROUND(H135*(1+$E$3),-1)))</f>
        <v>1290</v>
      </c>
      <c r="L135" s="8" t="n">
        <f aca="false">D135*E135</f>
        <v>6240</v>
      </c>
      <c r="M135" s="8" t="n">
        <f aca="false">D135*K135</f>
        <v>7740</v>
      </c>
      <c r="N135" s="8" t="n">
        <f aca="false">D135*H135</f>
        <v>6750</v>
      </c>
      <c r="O135" s="6" t="str">
        <f aca="false">IF(ISNUMBER(SEARCH(C135,F135)),"","YES")</f>
        <v/>
      </c>
      <c r="P135" s="6" t="s">
        <v>33</v>
      </c>
      <c r="Q135" s="7" t="s">
        <v>298</v>
      </c>
      <c r="R135" s="7"/>
    </row>
    <row r="136" customFormat="false" ht="22.35" hidden="false" customHeight="false" outlineLevel="0" collapsed="false">
      <c r="A136" s="6" t="n">
        <v>135</v>
      </c>
      <c r="B136" s="7" t="s">
        <v>299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33</v>
      </c>
      <c r="Q136" s="7" t="s">
        <v>300</v>
      </c>
      <c r="R136" s="7"/>
    </row>
    <row r="137" customFormat="false" ht="22.35" hidden="false" customHeight="false" outlineLevel="0" collapsed="false">
      <c r="A137" s="6" t="n">
        <v>136</v>
      </c>
      <c r="B137" s="7" t="s">
        <v>301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33</v>
      </c>
      <c r="Q137" s="7" t="s">
        <v>302</v>
      </c>
      <c r="R137" s="7"/>
    </row>
    <row r="138" customFormat="false" ht="22.35" hidden="false" customHeight="false" outlineLevel="0" collapsed="false">
      <c r="A138" s="6" t="n">
        <v>138</v>
      </c>
      <c r="B138" s="7" t="s">
        <v>303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33</v>
      </c>
      <c r="Q138" s="7" t="s">
        <v>304</v>
      </c>
      <c r="R138" s="7"/>
    </row>
    <row r="139" customFormat="false" ht="22.35" hidden="false" customHeight="false" outlineLevel="0" collapsed="false">
      <c r="A139" s="6" t="n">
        <v>139</v>
      </c>
      <c r="B139" s="7" t="s">
        <v>305</v>
      </c>
      <c r="C139" s="6" t="s">
        <v>28</v>
      </c>
      <c r="D139" s="6" t="n">
        <v>24</v>
      </c>
      <c r="E139" s="8" t="n">
        <v>715</v>
      </c>
      <c r="F139" s="7" t="s">
        <v>39</v>
      </c>
      <c r="G139" s="9" t="n">
        <v>812</v>
      </c>
      <c r="H139" s="9" t="n">
        <v>812</v>
      </c>
      <c r="I139" s="10" t="n">
        <f aca="false">IF(E139=0,0,(E139-H139)/E139)</f>
        <v>-0.135664335664336</v>
      </c>
      <c r="J139" s="6" t="str">
        <f aca="false">IF(E139&lt;G139,"LOSS",IF(E139&lt;H139*1.1,"THIN / RISK",IF(E139&gt;H139*1.8,"OVERPRICED?","OK")))</f>
        <v>LOSS</v>
      </c>
      <c r="K139" s="8" t="n">
        <f aca="false">IF(J139="OVERPRICED?",ROUND(H139*1.35,-1),MAX(E139,ROUND(H139*(1+$E$3),-1)))</f>
        <v>930</v>
      </c>
      <c r="L139" s="8" t="n">
        <f aca="false">D139*E139</f>
        <v>17160</v>
      </c>
      <c r="M139" s="8" t="n">
        <f aca="false">D139*K139</f>
        <v>22320</v>
      </c>
      <c r="N139" s="8" t="n">
        <f aca="false">D139*H139</f>
        <v>19488</v>
      </c>
      <c r="O139" s="6" t="str">
        <f aca="false">IF(ISNUMBER(SEARCH(C139,F139)),"","YES")</f>
        <v>YES</v>
      </c>
      <c r="P139" s="6" t="s">
        <v>33</v>
      </c>
      <c r="Q139" s="7" t="s">
        <v>306</v>
      </c>
      <c r="R139" s="7"/>
    </row>
    <row r="140" customFormat="false" ht="22.35" hidden="false" customHeight="false" outlineLevel="0" collapsed="false">
      <c r="A140" s="6" t="n">
        <v>140</v>
      </c>
      <c r="B140" s="7" t="s">
        <v>307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5629</v>
      </c>
      <c r="H140" s="9" t="n">
        <v>5629</v>
      </c>
      <c r="I140" s="10" t="n">
        <f aca="false">IF(E140=0,0,(E140-H140)/E140)</f>
        <v>-2.60833333333333</v>
      </c>
      <c r="J140" s="6" t="str">
        <f aca="false">IF(E140&lt;G140,"LOSS",IF(E140&lt;H140*1.1,"THIN / RISK",IF(E140&gt;H140*1.8,"OVERPRICED?","OK")))</f>
        <v>LOSS</v>
      </c>
      <c r="K140" s="8" t="n">
        <f aca="false">IF(J140="OVERPRICED?",ROUND(H140*1.35,-1),MAX(E140,ROUND(H140*(1+$E$3),-1)))</f>
        <v>6470</v>
      </c>
      <c r="L140" s="8" t="n">
        <f aca="false">D140*E140</f>
        <v>37440</v>
      </c>
      <c r="M140" s="8" t="n">
        <f aca="false">D140*K140</f>
        <v>155280</v>
      </c>
      <c r="N140" s="8" t="n">
        <f aca="false">D140*H140</f>
        <v>135096</v>
      </c>
      <c r="O140" s="6" t="str">
        <f aca="false">IF(ISNUMBER(SEARCH(C140,F140)),"","YES")</f>
        <v/>
      </c>
      <c r="P140" s="6" t="s">
        <v>33</v>
      </c>
      <c r="Q140" s="7" t="s">
        <v>308</v>
      </c>
      <c r="R140" s="7"/>
    </row>
    <row r="141" customFormat="false" ht="32.8" hidden="false" customHeight="false" outlineLevel="0" collapsed="false">
      <c r="A141" s="6" t="n">
        <v>142</v>
      </c>
      <c r="B141" s="7" t="s">
        <v>309</v>
      </c>
      <c r="C141" s="6" t="s">
        <v>22</v>
      </c>
      <c r="D141" s="6" t="n">
        <v>3</v>
      </c>
      <c r="E141" s="8" t="n">
        <v>7150</v>
      </c>
      <c r="F141" s="7" t="s">
        <v>39</v>
      </c>
      <c r="G141" s="9" t="n">
        <v>4680</v>
      </c>
      <c r="H141" s="9" t="n">
        <v>4680</v>
      </c>
      <c r="I141" s="10" t="n">
        <f aca="false">IF(E141=0,0,(E141-H141)/E141)</f>
        <v>0.345454545454545</v>
      </c>
      <c r="J141" s="6" t="str">
        <f aca="false">IF(E141&lt;G141,"LOSS",IF(E141&lt;H141*1.1,"THIN / RISK",IF(E141&gt;H141*1.8,"OVERPRICED?","OK")))</f>
        <v>OK</v>
      </c>
      <c r="K141" s="8" t="n">
        <f aca="false">IF(J141="OVERPRICED?",ROUND(H141*1.35,-1),MAX(E141,ROUND(H141*(1+$E$3),-1)))</f>
        <v>7150</v>
      </c>
      <c r="L141" s="8" t="n">
        <f aca="false">D141*E141</f>
        <v>21450</v>
      </c>
      <c r="M141" s="8" t="n">
        <f aca="false">D141*K141</f>
        <v>21450</v>
      </c>
      <c r="N141" s="8" t="n">
        <f aca="false">D141*H141</f>
        <v>14040</v>
      </c>
      <c r="O141" s="6" t="str">
        <f aca="false">IF(ISNUMBER(SEARCH(C141,F141)),"","YES")</f>
        <v>YES</v>
      </c>
      <c r="P141" s="6" t="s">
        <v>24</v>
      </c>
      <c r="Q141" s="7" t="s">
        <v>310</v>
      </c>
      <c r="R141" s="7" t="s">
        <v>26</v>
      </c>
    </row>
    <row r="142" customFormat="false" ht="32.8" hidden="false" customHeight="false" outlineLevel="0" collapsed="false">
      <c r="A142" s="6" t="n">
        <v>143</v>
      </c>
      <c r="B142" s="7" t="s">
        <v>311</v>
      </c>
      <c r="C142" s="6" t="s">
        <v>22</v>
      </c>
      <c r="D142" s="6" t="n">
        <v>3</v>
      </c>
      <c r="E142" s="8" t="n">
        <v>7150</v>
      </c>
      <c r="F142" s="7" t="s">
        <v>39</v>
      </c>
      <c r="G142" s="9" t="n">
        <v>4680</v>
      </c>
      <c r="H142" s="9" t="n">
        <v>4680</v>
      </c>
      <c r="I142" s="10" t="n">
        <f aca="false">IF(E142=0,0,(E142-H142)/E142)</f>
        <v>0.345454545454545</v>
      </c>
      <c r="J142" s="6" t="str">
        <f aca="false">IF(E142&lt;G142,"LOSS",IF(E142&lt;H142*1.1,"THIN / RISK",IF(E142&gt;H142*1.8,"OVERPRICED?","OK")))</f>
        <v>OK</v>
      </c>
      <c r="K142" s="8" t="n">
        <f aca="false">IF(J142="OVERPRICED?",ROUND(H142*1.35,-1),MAX(E142,ROUND(H142*(1+$E$3),-1)))</f>
        <v>7150</v>
      </c>
      <c r="L142" s="8" t="n">
        <f aca="false">D142*E142</f>
        <v>21450</v>
      </c>
      <c r="M142" s="8" t="n">
        <f aca="false">D142*K142</f>
        <v>21450</v>
      </c>
      <c r="N142" s="8" t="n">
        <f aca="false">D142*H142</f>
        <v>14040</v>
      </c>
      <c r="O142" s="6" t="str">
        <f aca="false">IF(ISNUMBER(SEARCH(C142,F142)),"","YES")</f>
        <v>YES</v>
      </c>
      <c r="P142" s="6" t="s">
        <v>24</v>
      </c>
      <c r="Q142" s="7" t="s">
        <v>312</v>
      </c>
      <c r="R142" s="7" t="s">
        <v>26</v>
      </c>
    </row>
    <row r="143" customFormat="false" ht="22.35" hidden="false" customHeight="false" outlineLevel="0" collapsed="false">
      <c r="A143" s="6" t="n">
        <v>144</v>
      </c>
      <c r="B143" s="7" t="s">
        <v>313</v>
      </c>
      <c r="C143" s="6" t="s">
        <v>22</v>
      </c>
      <c r="D143" s="6" t="n">
        <v>3</v>
      </c>
      <c r="E143" s="8" t="n">
        <v>8450</v>
      </c>
      <c r="F143" s="7" t="s">
        <v>39</v>
      </c>
      <c r="G143" s="9" t="n">
        <v>20866</v>
      </c>
      <c r="H143" s="9" t="n">
        <v>20866</v>
      </c>
      <c r="I143" s="10" t="n">
        <f aca="false">IF(E143=0,0,(E143-H143)/E143)</f>
        <v>-1.46934911242604</v>
      </c>
      <c r="J143" s="6" t="str">
        <f aca="false">IF(E143&lt;G143,"LOSS",IF(E143&lt;H143*1.1,"THIN / RISK",IF(E143&gt;H143*1.8,"OVERPRICED?","OK")))</f>
        <v>LOSS</v>
      </c>
      <c r="K143" s="8" t="n">
        <f aca="false">IF(J143="OVERPRICED?",ROUND(H143*1.35,-1),MAX(E143,ROUND(H143*(1+$E$3),-1)))</f>
        <v>24000</v>
      </c>
      <c r="L143" s="8" t="n">
        <f aca="false">D143*E143</f>
        <v>25350</v>
      </c>
      <c r="M143" s="8" t="n">
        <f aca="false">D143*K143</f>
        <v>72000</v>
      </c>
      <c r="N143" s="8" t="n">
        <f aca="false">D143*H143</f>
        <v>62598</v>
      </c>
      <c r="O143" s="6" t="str">
        <f aca="false">IF(ISNUMBER(SEARCH(C143,F143)),"","YES")</f>
        <v>YES</v>
      </c>
      <c r="P143" s="6" t="s">
        <v>24</v>
      </c>
      <c r="Q143" s="7" t="s">
        <v>314</v>
      </c>
      <c r="R143" s="7" t="s">
        <v>26</v>
      </c>
    </row>
    <row r="144" customFormat="false" ht="22.35" hidden="false" customHeight="false" outlineLevel="0" collapsed="false">
      <c r="A144" s="6" t="n">
        <v>145</v>
      </c>
      <c r="B144" s="7" t="s">
        <v>315</v>
      </c>
      <c r="C144" s="6" t="s">
        <v>28</v>
      </c>
      <c r="D144" s="6" t="n">
        <v>500</v>
      </c>
      <c r="E144" s="8" t="n">
        <v>104</v>
      </c>
      <c r="F144" s="7" t="s">
        <v>39</v>
      </c>
      <c r="G144" s="9" t="n">
        <v>14</v>
      </c>
      <c r="H144" s="9" t="n">
        <v>14</v>
      </c>
      <c r="I144" s="10" t="n">
        <f aca="false">IF(E144=0,0,(E144-H144)/E144)</f>
        <v>0.865384615384615</v>
      </c>
      <c r="J144" s="6" t="str">
        <f aca="false">IF(E144&lt;G144,"LOSS",IF(E144&lt;H144*1.1,"THIN / RISK",IF(E144&gt;H144*1.8,"OVERPRICED?","OK")))</f>
        <v>OVERPRICED?</v>
      </c>
      <c r="K144" s="8" t="n">
        <f aca="false">IF(J144="OVERPRICED?",ROUND(H144*1.35,-1),MAX(E144,ROUND(H144*(1+$E$3),-1)))</f>
        <v>20</v>
      </c>
      <c r="L144" s="8" t="n">
        <f aca="false">D144*E144</f>
        <v>52000</v>
      </c>
      <c r="M144" s="8" t="n">
        <f aca="false">D144*K144</f>
        <v>10000</v>
      </c>
      <c r="N144" s="8" t="n">
        <f aca="false">D144*H144</f>
        <v>7000</v>
      </c>
      <c r="O144" s="6" t="str">
        <f aca="false">IF(ISNUMBER(SEARCH(C144,F144)),"","YES")</f>
        <v>YES</v>
      </c>
      <c r="P144" s="6" t="s">
        <v>33</v>
      </c>
      <c r="Q144" s="7" t="s">
        <v>316</v>
      </c>
      <c r="R144" s="7"/>
    </row>
    <row r="145" customFormat="false" ht="22.35" hidden="false" customHeight="false" outlineLevel="0" collapsed="false">
      <c r="A145" s="6" t="n">
        <v>146</v>
      </c>
      <c r="B145" s="7" t="s">
        <v>317</v>
      </c>
      <c r="C145" s="6" t="s">
        <v>22</v>
      </c>
      <c r="D145" s="6" t="n">
        <v>1</v>
      </c>
      <c r="E145" s="8" t="n">
        <v>105788</v>
      </c>
      <c r="F145" s="7" t="s">
        <v>318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33</v>
      </c>
      <c r="Q145" s="7" t="s">
        <v>319</v>
      </c>
      <c r="R145" s="7"/>
    </row>
    <row r="146" customFormat="false" ht="15" hidden="false" customHeight="false" outlineLevel="0" collapsed="false">
      <c r="A146" s="6" t="n">
        <v>147</v>
      </c>
      <c r="B146" s="7" t="s">
        <v>320</v>
      </c>
      <c r="C146" s="6" t="s">
        <v>22</v>
      </c>
      <c r="D146" s="6" t="n">
        <v>1</v>
      </c>
      <c r="E146" s="8" t="n">
        <v>245700</v>
      </c>
      <c r="F146" s="7" t="s">
        <v>318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33</v>
      </c>
      <c r="Q146" s="7" t="s">
        <v>321</v>
      </c>
      <c r="R146" s="7"/>
    </row>
    <row r="147" customFormat="false" ht="15" hidden="false" customHeight="false" outlineLevel="0" collapsed="false">
      <c r="A147" s="6" t="n">
        <v>148</v>
      </c>
      <c r="B147" s="7" t="s">
        <v>322</v>
      </c>
      <c r="C147" s="6" t="s">
        <v>28</v>
      </c>
      <c r="D147" s="6" t="n">
        <v>12</v>
      </c>
      <c r="E147" s="8" t="n">
        <v>650</v>
      </c>
      <c r="F147" s="7" t="s">
        <v>60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33</v>
      </c>
      <c r="Q147" s="7" t="s">
        <v>323</v>
      </c>
      <c r="R147" s="7"/>
    </row>
    <row r="148" customFormat="false" ht="15" hidden="false" customHeight="false" outlineLevel="0" collapsed="false">
      <c r="A148" s="6" t="n">
        <v>149</v>
      </c>
      <c r="B148" s="7" t="s">
        <v>324</v>
      </c>
      <c r="C148" s="6" t="s">
        <v>22</v>
      </c>
      <c r="D148" s="6" t="n">
        <v>100</v>
      </c>
      <c r="E148" s="8" t="n">
        <v>1754</v>
      </c>
      <c r="F148" s="7" t="s">
        <v>325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33</v>
      </c>
      <c r="Q148" s="7" t="s">
        <v>326</v>
      </c>
      <c r="R148" s="7"/>
    </row>
    <row r="149" customFormat="false" ht="22.35" hidden="false" customHeight="false" outlineLevel="0" collapsed="false">
      <c r="A149" s="6" t="n">
        <v>150</v>
      </c>
      <c r="B149" s="7" t="s">
        <v>327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33</v>
      </c>
      <c r="Q149" s="7" t="s">
        <v>328</v>
      </c>
      <c r="R149" s="7"/>
    </row>
    <row r="150" customFormat="false" ht="22.35" hidden="false" customHeight="false" outlineLevel="0" collapsed="false">
      <c r="A150" s="6" t="n">
        <v>151</v>
      </c>
      <c r="B150" s="7" t="s">
        <v>329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33</v>
      </c>
      <c r="Q150" s="7" t="s">
        <v>330</v>
      </c>
      <c r="R150" s="7"/>
    </row>
    <row r="151" customFormat="false" ht="22.35" hidden="false" customHeight="false" outlineLevel="0" collapsed="false">
      <c r="A151" s="6" t="n">
        <v>152</v>
      </c>
      <c r="B151" s="7" t="s">
        <v>331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33</v>
      </c>
      <c r="Q151" s="7" t="s">
        <v>332</v>
      </c>
      <c r="R151" s="7"/>
    </row>
    <row r="152" customFormat="false" ht="15" hidden="false" customHeight="false" outlineLevel="0" collapsed="false">
      <c r="A152" s="6" t="n">
        <v>153</v>
      </c>
      <c r="B152" s="7" t="s">
        <v>333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33</v>
      </c>
      <c r="Q152" s="7" t="s">
        <v>334</v>
      </c>
      <c r="R152" s="7"/>
    </row>
    <row r="153" customFormat="false" ht="22.35" hidden="false" customHeight="false" outlineLevel="0" collapsed="false">
      <c r="A153" s="6" t="n">
        <v>154</v>
      </c>
      <c r="B153" s="7" t="s">
        <v>335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10170</v>
      </c>
      <c r="H153" s="9" t="n">
        <v>10170</v>
      </c>
      <c r="I153" s="10" t="n">
        <f aca="false">IF(E153=0,0,(E153-H153)/E153)</f>
        <v>-5.51923076923077</v>
      </c>
      <c r="J153" s="6" t="str">
        <f aca="false">IF(E153&lt;G153,"LOSS",IF(E153&lt;H153*1.1,"THIN / RISK",IF(E153&gt;H153*1.8,"OVERPRICED?","OK")))</f>
        <v>LOSS</v>
      </c>
      <c r="K153" s="8" t="n">
        <f aca="false">IF(J153="OVERPRICED?",ROUND(H153*1.35,-1),MAX(E153,ROUND(H153*(1+$E$3),-1)))</f>
        <v>11700</v>
      </c>
      <c r="L153" s="8" t="n">
        <f aca="false">D153*E153</f>
        <v>18720</v>
      </c>
      <c r="M153" s="8" t="n">
        <f aca="false">D153*K153</f>
        <v>140400</v>
      </c>
      <c r="N153" s="8" t="n">
        <f aca="false">D153*H153</f>
        <v>122040</v>
      </c>
      <c r="O153" s="6" t="str">
        <f aca="false">IF(ISNUMBER(SEARCH(C153,F153)),"","YES")</f>
        <v/>
      </c>
      <c r="P153" s="6" t="s">
        <v>24</v>
      </c>
      <c r="Q153" s="7" t="s">
        <v>336</v>
      </c>
      <c r="R153" s="7" t="s">
        <v>26</v>
      </c>
    </row>
    <row r="154" customFormat="false" ht="15" hidden="false" customHeight="false" outlineLevel="0" collapsed="false">
      <c r="A154" s="6" t="n">
        <v>155</v>
      </c>
      <c r="B154" s="7" t="s">
        <v>337</v>
      </c>
      <c r="C154" s="6" t="s">
        <v>22</v>
      </c>
      <c r="D154" s="6" t="n">
        <v>50</v>
      </c>
      <c r="E154" s="8" t="n">
        <v>748</v>
      </c>
      <c r="F154" s="7" t="s">
        <v>338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33</v>
      </c>
      <c r="Q154" s="7" t="s">
        <v>339</v>
      </c>
      <c r="R154" s="7"/>
    </row>
    <row r="155" customFormat="false" ht="15" hidden="false" customHeight="false" outlineLevel="0" collapsed="false">
      <c r="A155" s="6" t="n">
        <v>156</v>
      </c>
      <c r="B155" s="7" t="s">
        <v>340</v>
      </c>
      <c r="C155" s="6" t="s">
        <v>22</v>
      </c>
      <c r="D155" s="6" t="n">
        <v>30</v>
      </c>
      <c r="E155" s="8" t="n">
        <v>748</v>
      </c>
      <c r="F155" s="7" t="s">
        <v>338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33</v>
      </c>
      <c r="Q155" s="7" t="s">
        <v>341</v>
      </c>
      <c r="R155" s="7"/>
    </row>
    <row r="156" customFormat="false" ht="22.35" hidden="false" customHeight="false" outlineLevel="0" collapsed="false">
      <c r="A156" s="6" t="n">
        <v>157</v>
      </c>
      <c r="B156" s="7" t="s">
        <v>342</v>
      </c>
      <c r="C156" s="6" t="s">
        <v>22</v>
      </c>
      <c r="D156" s="6" t="n">
        <v>30</v>
      </c>
      <c r="E156" s="8" t="n">
        <v>748</v>
      </c>
      <c r="F156" s="7" t="s">
        <v>343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33</v>
      </c>
      <c r="Q156" s="7" t="s">
        <v>344</v>
      </c>
      <c r="R156" s="7"/>
    </row>
    <row r="157" customFormat="false" ht="22.35" hidden="false" customHeight="false" outlineLevel="0" collapsed="false">
      <c r="A157" s="6" t="n">
        <v>158</v>
      </c>
      <c r="B157" s="7" t="s">
        <v>345</v>
      </c>
      <c r="C157" s="6" t="s">
        <v>28</v>
      </c>
      <c r="D157" s="6" t="n">
        <v>12</v>
      </c>
      <c r="E157" s="8" t="n">
        <v>311</v>
      </c>
      <c r="F157" s="7" t="s">
        <v>346</v>
      </c>
      <c r="G157" s="9" t="n">
        <v>203</v>
      </c>
      <c r="H157" s="9" t="n">
        <v>203</v>
      </c>
      <c r="I157" s="10" t="n">
        <f aca="false">IF(E157=0,0,(E157-H157)/E157)</f>
        <v>0.347266881028939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2436</v>
      </c>
      <c r="O157" s="6" t="str">
        <f aca="false">IF(ISNUMBER(SEARCH(C157,F157)),"","YES")</f>
        <v>YES</v>
      </c>
      <c r="P157" s="6" t="s">
        <v>33</v>
      </c>
      <c r="Q157" s="7" t="s">
        <v>347</v>
      </c>
      <c r="R157" s="7"/>
    </row>
    <row r="158" customFormat="false" ht="22.35" hidden="false" customHeight="false" outlineLevel="0" collapsed="false">
      <c r="A158" s="6" t="n">
        <v>159</v>
      </c>
      <c r="B158" s="7" t="s">
        <v>348</v>
      </c>
      <c r="C158" s="6" t="s">
        <v>28</v>
      </c>
      <c r="D158" s="6" t="n">
        <v>100</v>
      </c>
      <c r="E158" s="8" t="n">
        <v>325</v>
      </c>
      <c r="F158" s="7" t="s">
        <v>346</v>
      </c>
      <c r="G158" s="9" t="n">
        <v>160</v>
      </c>
      <c r="H158" s="9" t="n">
        <v>160</v>
      </c>
      <c r="I158" s="10" t="n">
        <f aca="false">IF(E158=0,0,(E158-H158)/E158)</f>
        <v>0.507692307692308</v>
      </c>
      <c r="J158" s="6" t="str">
        <f aca="false">IF(E158&lt;G158,"LOSS",IF(E158&lt;H158*1.1,"THIN / RISK",IF(E158&gt;H158*1.8,"OVERPRICED?","OK")))</f>
        <v>OVERPRICED?</v>
      </c>
      <c r="K158" s="8" t="n">
        <f aca="false">IF(J158="OVERPRICED?",ROUND(H158*1.35,-1),MAX(E158,ROUND(H158*(1+$E$3),-1)))</f>
        <v>220</v>
      </c>
      <c r="L158" s="8" t="n">
        <f aca="false">D158*E158</f>
        <v>32500</v>
      </c>
      <c r="M158" s="8" t="n">
        <f aca="false">D158*K158</f>
        <v>22000</v>
      </c>
      <c r="N158" s="8" t="n">
        <f aca="false">D158*H158</f>
        <v>16000</v>
      </c>
      <c r="O158" s="6" t="str">
        <f aca="false">IF(ISNUMBER(SEARCH(C158,F158)),"","YES")</f>
        <v>YES</v>
      </c>
      <c r="P158" s="6" t="s">
        <v>24</v>
      </c>
      <c r="Q158" s="7" t="s">
        <v>349</v>
      </c>
      <c r="R158" s="7" t="s">
        <v>26</v>
      </c>
    </row>
    <row r="159" customFormat="false" ht="22.35" hidden="false" customHeight="false" outlineLevel="0" collapsed="false">
      <c r="A159" s="6" t="n">
        <v>160</v>
      </c>
      <c r="B159" s="7" t="s">
        <v>350</v>
      </c>
      <c r="C159" s="6" t="s">
        <v>28</v>
      </c>
      <c r="D159" s="6" t="n">
        <v>150</v>
      </c>
      <c r="E159" s="8" t="n">
        <v>117</v>
      </c>
      <c r="F159" s="7" t="s">
        <v>351</v>
      </c>
      <c r="G159" s="9" t="n">
        <v>65</v>
      </c>
      <c r="H159" s="9" t="n">
        <v>65</v>
      </c>
      <c r="I159" s="10" t="n">
        <f aca="false">IF(E159=0,0,(E159-H159)/E159)</f>
        <v>0.444444444444444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117</v>
      </c>
      <c r="L159" s="8" t="n">
        <f aca="false">D159*E159</f>
        <v>17550</v>
      </c>
      <c r="M159" s="8" t="n">
        <f aca="false">D159*K159</f>
        <v>17550</v>
      </c>
      <c r="N159" s="8" t="n">
        <f aca="false">D159*H159</f>
        <v>9750</v>
      </c>
      <c r="O159" s="6" t="str">
        <f aca="false">IF(ISNUMBER(SEARCH(C159,F159)),"","YES")</f>
        <v>YES</v>
      </c>
      <c r="P159" s="6" t="s">
        <v>24</v>
      </c>
      <c r="Q159" s="7" t="s">
        <v>352</v>
      </c>
      <c r="R159" s="7" t="s">
        <v>26</v>
      </c>
    </row>
    <row r="160" customFormat="false" ht="32.8" hidden="false" customHeight="false" outlineLevel="0" collapsed="false">
      <c r="A160" s="6" t="n">
        <v>161</v>
      </c>
      <c r="B160" s="7" t="s">
        <v>353</v>
      </c>
      <c r="C160" s="6" t="s">
        <v>28</v>
      </c>
      <c r="D160" s="6" t="n">
        <v>150</v>
      </c>
      <c r="E160" s="8" t="n">
        <v>169</v>
      </c>
      <c r="F160" s="7" t="s">
        <v>39</v>
      </c>
      <c r="G160" s="9" t="n">
        <v>266</v>
      </c>
      <c r="H160" s="9" t="n">
        <v>266</v>
      </c>
      <c r="I160" s="10" t="n">
        <f aca="false">IF(E160=0,0,(E160-H160)/E160)</f>
        <v>-0.57396449704142</v>
      </c>
      <c r="J160" s="6" t="str">
        <f aca="false">IF(E160&lt;G160,"LOSS",IF(E160&lt;H160*1.1,"THIN / RISK",IF(E160&gt;H160*1.8,"OVERPRICED?","OK")))</f>
        <v>LOSS</v>
      </c>
      <c r="K160" s="8" t="n">
        <f aca="false">IF(J160="OVERPRICED?",ROUND(H160*1.35,-1),MAX(E160,ROUND(H160*(1+$E$3),-1)))</f>
        <v>310</v>
      </c>
      <c r="L160" s="8" t="n">
        <f aca="false">D160*E160</f>
        <v>25350</v>
      </c>
      <c r="M160" s="8" t="n">
        <f aca="false">D160*K160</f>
        <v>46500</v>
      </c>
      <c r="N160" s="8" t="n">
        <f aca="false">D160*H160</f>
        <v>39900</v>
      </c>
      <c r="O160" s="6" t="str">
        <f aca="false">IF(ISNUMBER(SEARCH(C160,F160)),"","YES")</f>
        <v>YES</v>
      </c>
      <c r="P160" s="6" t="s">
        <v>24</v>
      </c>
      <c r="Q160" s="7" t="s">
        <v>354</v>
      </c>
      <c r="R160" s="7" t="s">
        <v>26</v>
      </c>
    </row>
    <row r="161" customFormat="false" ht="22.35" hidden="false" customHeight="false" outlineLevel="0" collapsed="false">
      <c r="A161" s="6" t="n">
        <v>162</v>
      </c>
      <c r="B161" s="7" t="s">
        <v>355</v>
      </c>
      <c r="C161" s="6" t="s">
        <v>28</v>
      </c>
      <c r="D161" s="6" t="n">
        <v>150</v>
      </c>
      <c r="E161" s="8" t="n">
        <v>234</v>
      </c>
      <c r="F161" s="7" t="s">
        <v>39</v>
      </c>
      <c r="G161" s="9" t="n">
        <v>266</v>
      </c>
      <c r="H161" s="9" t="n">
        <v>266</v>
      </c>
      <c r="I161" s="10" t="n">
        <f aca="false">IF(E161=0,0,(E161-H161)/E161)</f>
        <v>-0.136752136752137</v>
      </c>
      <c r="J161" s="6" t="str">
        <f aca="false">IF(E161&lt;G161,"LOSS",IF(E161&lt;H161*1.1,"THIN / RISK",IF(E161&gt;H161*1.8,"OVERPRICED?","OK")))</f>
        <v>LOSS</v>
      </c>
      <c r="K161" s="8" t="n">
        <f aca="false">IF(J161="OVERPRICED?",ROUND(H161*1.35,-1),MAX(E161,ROUND(H161*(1+$E$3),-1)))</f>
        <v>310</v>
      </c>
      <c r="L161" s="8" t="n">
        <f aca="false">D161*E161</f>
        <v>35100</v>
      </c>
      <c r="M161" s="8" t="n">
        <f aca="false">D161*K161</f>
        <v>46500</v>
      </c>
      <c r="N161" s="8" t="n">
        <f aca="false">D161*H161</f>
        <v>39900</v>
      </c>
      <c r="O161" s="6" t="str">
        <f aca="false">IF(ISNUMBER(SEARCH(C161,F161)),"","YES")</f>
        <v>YES</v>
      </c>
      <c r="P161" s="6" t="s">
        <v>24</v>
      </c>
      <c r="Q161" s="7" t="s">
        <v>356</v>
      </c>
      <c r="R161" s="7" t="s">
        <v>26</v>
      </c>
    </row>
    <row r="162" customFormat="false" ht="32.8" hidden="false" customHeight="false" outlineLevel="0" collapsed="false">
      <c r="A162" s="6" t="n">
        <v>164</v>
      </c>
      <c r="B162" s="7" t="s">
        <v>357</v>
      </c>
      <c r="C162" s="6" t="s">
        <v>22</v>
      </c>
      <c r="D162" s="6" t="n">
        <v>40</v>
      </c>
      <c r="E162" s="8" t="n">
        <v>1209</v>
      </c>
      <c r="F162" s="7" t="s">
        <v>358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24</v>
      </c>
      <c r="Q162" s="7" t="s">
        <v>359</v>
      </c>
      <c r="R162" s="7" t="s">
        <v>26</v>
      </c>
    </row>
    <row r="163" customFormat="false" ht="32.8" hidden="false" customHeight="false" outlineLevel="0" collapsed="false">
      <c r="A163" s="6" t="n">
        <v>165</v>
      </c>
      <c r="B163" s="7" t="s">
        <v>360</v>
      </c>
      <c r="C163" s="6" t="s">
        <v>22</v>
      </c>
      <c r="D163" s="6" t="n">
        <v>40</v>
      </c>
      <c r="E163" s="8" t="n">
        <v>1209</v>
      </c>
      <c r="F163" s="7" t="s">
        <v>358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24</v>
      </c>
      <c r="Q163" s="7" t="s">
        <v>361</v>
      </c>
      <c r="R163" s="7" t="s">
        <v>26</v>
      </c>
    </row>
    <row r="164" customFormat="false" ht="22.35" hidden="false" customHeight="false" outlineLevel="0" collapsed="false">
      <c r="A164" s="6" t="n">
        <v>166</v>
      </c>
      <c r="B164" s="7" t="s">
        <v>362</v>
      </c>
      <c r="C164" s="6" t="s">
        <v>22</v>
      </c>
      <c r="D164" s="6" t="n">
        <v>20</v>
      </c>
      <c r="E164" s="8" t="n">
        <v>3022</v>
      </c>
      <c r="F164" s="7" t="s">
        <v>363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24</v>
      </c>
      <c r="Q164" s="7" t="s">
        <v>364</v>
      </c>
      <c r="R164" s="7" t="s">
        <v>26</v>
      </c>
    </row>
    <row r="165" customFormat="false" ht="22.35" hidden="false" customHeight="false" outlineLevel="0" collapsed="false">
      <c r="A165" s="6" t="n">
        <v>167</v>
      </c>
      <c r="B165" s="7" t="s">
        <v>365</v>
      </c>
      <c r="C165" s="6" t="s">
        <v>22</v>
      </c>
      <c r="D165" s="6" t="n">
        <v>40</v>
      </c>
      <c r="E165" s="8" t="n">
        <v>6240</v>
      </c>
      <c r="F165" s="7" t="s">
        <v>366</v>
      </c>
      <c r="G165" s="9" t="n">
        <v>4400</v>
      </c>
      <c r="H165" s="9" t="n">
        <v>4400</v>
      </c>
      <c r="I165" s="10" t="n">
        <f aca="false">IF(E165=0,0,(E165-H165)/E165)</f>
        <v>0.294871794871795</v>
      </c>
      <c r="J165" s="6" t="str">
        <f aca="false">IF(E165&lt;G165,"LOSS",IF(E165&lt;H165*1.1,"THIN / RISK",IF(E165&gt;H165*1.8,"OVERPRICED?","OK")))</f>
        <v>OK</v>
      </c>
      <c r="K165" s="8" t="n">
        <f aca="false">IF(J165="OVERPRICED?",ROUND(H165*1.35,-1),MAX(E165,ROUND(H165*(1+$E$3),-1)))</f>
        <v>6240</v>
      </c>
      <c r="L165" s="8" t="n">
        <f aca="false">D165*E165</f>
        <v>249600</v>
      </c>
      <c r="M165" s="8" t="n">
        <f aca="false">D165*K165</f>
        <v>249600</v>
      </c>
      <c r="N165" s="8" t="n">
        <f aca="false">D165*H165</f>
        <v>176000</v>
      </c>
      <c r="O165" s="6" t="str">
        <f aca="false">IF(ISNUMBER(SEARCH(C165,F165)),"","YES")</f>
        <v>YES</v>
      </c>
      <c r="P165" s="6" t="s">
        <v>24</v>
      </c>
      <c r="Q165" s="7" t="s">
        <v>367</v>
      </c>
      <c r="R165" s="7" t="s">
        <v>26</v>
      </c>
    </row>
    <row r="166" customFormat="false" ht="22.35" hidden="false" customHeight="false" outlineLevel="0" collapsed="false">
      <c r="A166" s="6" t="n">
        <v>168</v>
      </c>
      <c r="B166" s="7" t="s">
        <v>368</v>
      </c>
      <c r="C166" s="6" t="s">
        <v>22</v>
      </c>
      <c r="D166" s="6" t="n">
        <v>20</v>
      </c>
      <c r="E166" s="8" t="n">
        <v>7150</v>
      </c>
      <c r="F166" s="7" t="s">
        <v>366</v>
      </c>
      <c r="G166" s="9" t="n">
        <v>4400</v>
      </c>
      <c r="H166" s="9" t="n">
        <v>4400</v>
      </c>
      <c r="I166" s="10" t="n">
        <f aca="false">IF(E166=0,0,(E166-H166)/E166)</f>
        <v>0.384615384615385</v>
      </c>
      <c r="J166" s="6" t="str">
        <f aca="false">IF(E166&lt;G166,"LOSS",IF(E166&lt;H166*1.1,"THIN / RISK",IF(E166&gt;H166*1.8,"OVERPRICED?","OK")))</f>
        <v>OK</v>
      </c>
      <c r="K166" s="8" t="n">
        <f aca="false">IF(J166="OVERPRICED?",ROUND(H166*1.35,-1),MAX(E166,ROUND(H166*(1+$E$3),-1)))</f>
        <v>7150</v>
      </c>
      <c r="L166" s="8" t="n">
        <f aca="false">D166*E166</f>
        <v>143000</v>
      </c>
      <c r="M166" s="8" t="n">
        <f aca="false">D166*K166</f>
        <v>143000</v>
      </c>
      <c r="N166" s="8" t="n">
        <f aca="false">D166*H166</f>
        <v>88000</v>
      </c>
      <c r="O166" s="6" t="str">
        <f aca="false">IF(ISNUMBER(SEARCH(C166,F166)),"","YES")</f>
        <v>YES</v>
      </c>
      <c r="P166" s="6" t="s">
        <v>24</v>
      </c>
      <c r="Q166" s="7" t="s">
        <v>369</v>
      </c>
      <c r="R166" s="7" t="s">
        <v>26</v>
      </c>
    </row>
    <row r="167" customFormat="false" ht="22.35" hidden="false" customHeight="false" outlineLevel="0" collapsed="false">
      <c r="A167" s="6" t="n">
        <v>177</v>
      </c>
      <c r="B167" s="7" t="s">
        <v>370</v>
      </c>
      <c r="C167" s="6" t="s">
        <v>28</v>
      </c>
      <c r="D167" s="6" t="n">
        <v>3</v>
      </c>
      <c r="E167" s="8" t="n">
        <v>5850</v>
      </c>
      <c r="F167" s="7" t="s">
        <v>29</v>
      </c>
      <c r="G167" s="9" t="n">
        <v>9360</v>
      </c>
      <c r="H167" s="9" t="n">
        <v>9360</v>
      </c>
      <c r="I167" s="10" t="n">
        <f aca="false">IF(E167=0,0,(E167-H167)/E167)</f>
        <v>-0.6</v>
      </c>
      <c r="J167" s="6" t="str">
        <f aca="false">IF(E167&lt;G167,"LOSS",IF(E167&lt;H167*1.1,"THIN / RISK",IF(E167&gt;H167*1.8,"OVERPRICED?","OK")))</f>
        <v>LOSS</v>
      </c>
      <c r="K167" s="8" t="n">
        <f aca="false">IF(J167="OVERPRICED?",ROUND(H167*1.35,-1),MAX(E167,ROUND(H167*(1+$E$3),-1)))</f>
        <v>10760</v>
      </c>
      <c r="L167" s="8" t="n">
        <f aca="false">D167*E167</f>
        <v>17550</v>
      </c>
      <c r="M167" s="8" t="n">
        <f aca="false">D167*K167</f>
        <v>32280</v>
      </c>
      <c r="N167" s="8" t="n">
        <f aca="false">D167*H167</f>
        <v>28080</v>
      </c>
      <c r="O167" s="6" t="str">
        <f aca="false">IF(ISNUMBER(SEARCH(C167,F167)),"","YES")</f>
        <v>YES</v>
      </c>
      <c r="P167" s="6" t="s">
        <v>24</v>
      </c>
      <c r="Q167" s="7" t="s">
        <v>371</v>
      </c>
      <c r="R167" s="7" t="s">
        <v>26</v>
      </c>
    </row>
    <row r="168" customFormat="false" ht="32.8" hidden="false" customHeight="false" outlineLevel="0" collapsed="false">
      <c r="A168" s="6" t="n">
        <v>179</v>
      </c>
      <c r="B168" s="7" t="s">
        <v>372</v>
      </c>
      <c r="C168" s="6" t="s">
        <v>28</v>
      </c>
      <c r="D168" s="6" t="n">
        <v>1</v>
      </c>
      <c r="E168" s="8" t="n">
        <v>23400</v>
      </c>
      <c r="F168" s="7" t="s">
        <v>36</v>
      </c>
      <c r="G168" s="9" t="n">
        <v>93911</v>
      </c>
      <c r="H168" s="9" t="n">
        <v>93911</v>
      </c>
      <c r="I168" s="10" t="n">
        <f aca="false">IF(E168=0,0,(E168-H168)/E168)</f>
        <v>-3.0132905982906</v>
      </c>
      <c r="J168" s="6" t="str">
        <f aca="false">IF(E168&lt;G168,"LOSS",IF(E168&lt;H168*1.1,"THIN / RISK",IF(E168&gt;H168*1.8,"OVERPRICED?","OK")))</f>
        <v>LOSS</v>
      </c>
      <c r="K168" s="8" t="n">
        <f aca="false">IF(J168="OVERPRICED?",ROUND(H168*1.35,-1),MAX(E168,ROUND(H168*(1+$E$3),-1)))</f>
        <v>108000</v>
      </c>
      <c r="L168" s="8" t="n">
        <f aca="false">D168*E168</f>
        <v>23400</v>
      </c>
      <c r="M168" s="8" t="n">
        <f aca="false">D168*K168</f>
        <v>108000</v>
      </c>
      <c r="N168" s="8" t="n">
        <f aca="false">D168*H168</f>
        <v>93911</v>
      </c>
      <c r="O168" s="6" t="str">
        <f aca="false">IF(ISNUMBER(SEARCH(C168,F168)),"","YES")</f>
        <v>YES</v>
      </c>
      <c r="P168" s="6" t="s">
        <v>24</v>
      </c>
      <c r="Q168" s="7" t="s">
        <v>373</v>
      </c>
      <c r="R168" s="7" t="s">
        <v>26</v>
      </c>
    </row>
    <row r="169" customFormat="false" ht="32.8" hidden="false" customHeight="false" outlineLevel="0" collapsed="false">
      <c r="A169" s="6" t="n">
        <v>180</v>
      </c>
      <c r="B169" s="7" t="s">
        <v>374</v>
      </c>
      <c r="C169" s="6" t="s">
        <v>28</v>
      </c>
      <c r="D169" s="6" t="n">
        <v>1</v>
      </c>
      <c r="E169" s="8" t="n">
        <v>15600</v>
      </c>
      <c r="F169" s="7" t="s">
        <v>36</v>
      </c>
      <c r="G169" s="9" t="n">
        <v>93911</v>
      </c>
      <c r="H169" s="9" t="n">
        <v>93911</v>
      </c>
      <c r="I169" s="10" t="n">
        <f aca="false">IF(E169=0,0,(E169-H169)/E169)</f>
        <v>-5.0199358974359</v>
      </c>
      <c r="J169" s="6" t="str">
        <f aca="false">IF(E169&lt;G169,"LOSS",IF(E169&lt;H169*1.1,"THIN / RISK",IF(E169&gt;H169*1.8,"OVERPRICED?","OK")))</f>
        <v>LOSS</v>
      </c>
      <c r="K169" s="8" t="n">
        <f aca="false">IF(J169="OVERPRICED?",ROUND(H169*1.35,-1),MAX(E169,ROUND(H169*(1+$E$3),-1)))</f>
        <v>108000</v>
      </c>
      <c r="L169" s="8" t="n">
        <f aca="false">D169*E169</f>
        <v>15600</v>
      </c>
      <c r="M169" s="8" t="n">
        <f aca="false">D169*K169</f>
        <v>108000</v>
      </c>
      <c r="N169" s="8" t="n">
        <f aca="false">D169*H169</f>
        <v>93911</v>
      </c>
      <c r="O169" s="6" t="str">
        <f aca="false">IF(ISNUMBER(SEARCH(C169,F169)),"","YES")</f>
        <v>YES</v>
      </c>
      <c r="P169" s="6" t="s">
        <v>33</v>
      </c>
      <c r="Q169" s="7" t="s">
        <v>375</v>
      </c>
      <c r="R169" s="7"/>
    </row>
    <row r="170" customFormat="false" ht="32.8" hidden="false" customHeight="false" outlineLevel="0" collapsed="false">
      <c r="A170" s="6" t="n">
        <v>181</v>
      </c>
      <c r="B170" s="7" t="s">
        <v>376</v>
      </c>
      <c r="C170" s="6" t="s">
        <v>28</v>
      </c>
      <c r="D170" s="6" t="n">
        <v>1</v>
      </c>
      <c r="E170" s="8" t="n">
        <v>33800</v>
      </c>
      <c r="F170" s="7" t="s">
        <v>36</v>
      </c>
      <c r="G170" s="9" t="n">
        <v>179788</v>
      </c>
      <c r="H170" s="9" t="n">
        <v>179788</v>
      </c>
      <c r="I170" s="10" t="n">
        <f aca="false">IF(E170=0,0,(E170-H170)/E170)</f>
        <v>-4.31917159763314</v>
      </c>
      <c r="J170" s="6" t="str">
        <f aca="false">IF(E170&lt;G170,"LOSS",IF(E170&lt;H170*1.1,"THIN / RISK",IF(E170&gt;H170*1.8,"OVERPRICED?","OK")))</f>
        <v>LOSS</v>
      </c>
      <c r="K170" s="8" t="n">
        <f aca="false">IF(J170="OVERPRICED?",ROUND(H170*1.35,-1),MAX(E170,ROUND(H170*(1+$E$3),-1)))</f>
        <v>206760</v>
      </c>
      <c r="L170" s="8" t="n">
        <f aca="false">D170*E170</f>
        <v>33800</v>
      </c>
      <c r="M170" s="8" t="n">
        <f aca="false">D170*K170</f>
        <v>206760</v>
      </c>
      <c r="N170" s="8" t="n">
        <f aca="false">D170*H170</f>
        <v>179788</v>
      </c>
      <c r="O170" s="6" t="str">
        <f aca="false">IF(ISNUMBER(SEARCH(C170,F170)),"","YES")</f>
        <v>YES</v>
      </c>
      <c r="P170" s="6" t="s">
        <v>24</v>
      </c>
      <c r="Q170" s="7" t="s">
        <v>377</v>
      </c>
      <c r="R170" s="7" t="s">
        <v>26</v>
      </c>
    </row>
    <row r="171" customFormat="false" ht="32.8" hidden="false" customHeight="false" outlineLevel="0" collapsed="false">
      <c r="A171" s="6" t="n">
        <v>182</v>
      </c>
      <c r="B171" s="7" t="s">
        <v>378</v>
      </c>
      <c r="C171" s="6" t="s">
        <v>28</v>
      </c>
      <c r="D171" s="6" t="n">
        <v>1</v>
      </c>
      <c r="E171" s="8" t="n">
        <v>23400</v>
      </c>
      <c r="F171" s="7" t="s">
        <v>36</v>
      </c>
      <c r="G171" s="9" t="n">
        <v>179788</v>
      </c>
      <c r="H171" s="9" t="n">
        <v>179788</v>
      </c>
      <c r="I171" s="10" t="n">
        <f aca="false">IF(E171=0,0,(E171-H171)/E171)</f>
        <v>-6.68324786324786</v>
      </c>
      <c r="J171" s="6" t="str">
        <f aca="false">IF(E171&lt;G171,"LOSS",IF(E171&lt;H171*1.1,"THIN / RISK",IF(E171&gt;H171*1.8,"OVERPRICED?","OK")))</f>
        <v>LOSS</v>
      </c>
      <c r="K171" s="8" t="n">
        <f aca="false">IF(J171="OVERPRICED?",ROUND(H171*1.35,-1),MAX(E171,ROUND(H171*(1+$E$3),-1)))</f>
        <v>206760</v>
      </c>
      <c r="L171" s="8" t="n">
        <f aca="false">D171*E171</f>
        <v>23400</v>
      </c>
      <c r="M171" s="8" t="n">
        <f aca="false">D171*K171</f>
        <v>206760</v>
      </c>
      <c r="N171" s="8" t="n">
        <f aca="false">D171*H171</f>
        <v>179788</v>
      </c>
      <c r="O171" s="6" t="str">
        <f aca="false">IF(ISNUMBER(SEARCH(C171,F171)),"","YES")</f>
        <v>YES</v>
      </c>
      <c r="P171" s="6" t="s">
        <v>24</v>
      </c>
      <c r="Q171" s="7" t="s">
        <v>379</v>
      </c>
      <c r="R171" s="7" t="s">
        <v>26</v>
      </c>
    </row>
    <row r="172" customFormat="false" ht="22.35" hidden="false" customHeight="false" outlineLevel="0" collapsed="false">
      <c r="A172" s="6" t="n">
        <v>183</v>
      </c>
      <c r="B172" s="7" t="s">
        <v>380</v>
      </c>
      <c r="C172" s="6" t="s">
        <v>28</v>
      </c>
      <c r="D172" s="6" t="n">
        <v>3</v>
      </c>
      <c r="E172" s="8" t="n">
        <v>2860</v>
      </c>
      <c r="F172" s="7" t="s">
        <v>36</v>
      </c>
      <c r="G172" s="9" t="n">
        <v>10350</v>
      </c>
      <c r="H172" s="9" t="n">
        <v>10350</v>
      </c>
      <c r="I172" s="10" t="n">
        <f aca="false">IF(E172=0,0,(E172-H172)/E172)</f>
        <v>-2.61888111888112</v>
      </c>
      <c r="J172" s="6" t="str">
        <f aca="false">IF(E172&lt;G172,"LOSS",IF(E172&lt;H172*1.1,"THIN / RISK",IF(E172&gt;H172*1.8,"OVERPRICED?","OK")))</f>
        <v>LOSS</v>
      </c>
      <c r="K172" s="8" t="n">
        <f aca="false">IF(J172="OVERPRICED?",ROUND(H172*1.35,-1),MAX(E172,ROUND(H172*(1+$E$3),-1)))</f>
        <v>11900</v>
      </c>
      <c r="L172" s="8" t="n">
        <f aca="false">D172*E172</f>
        <v>8580</v>
      </c>
      <c r="M172" s="8" t="n">
        <f aca="false">D172*K172</f>
        <v>35700</v>
      </c>
      <c r="N172" s="8" t="n">
        <f aca="false">D172*H172</f>
        <v>31050</v>
      </c>
      <c r="O172" s="6" t="str">
        <f aca="false">IF(ISNUMBER(SEARCH(C172,F172)),"","YES")</f>
        <v>YES</v>
      </c>
      <c r="P172" s="6" t="s">
        <v>33</v>
      </c>
      <c r="Q172" s="7" t="s">
        <v>381</v>
      </c>
      <c r="R172" s="7"/>
    </row>
    <row r="173" customFormat="false" ht="22.35" hidden="false" customHeight="false" outlineLevel="0" collapsed="false">
      <c r="A173" s="6" t="n">
        <v>184</v>
      </c>
      <c r="B173" s="7" t="s">
        <v>382</v>
      </c>
      <c r="C173" s="6" t="s">
        <v>28</v>
      </c>
      <c r="D173" s="6" t="n">
        <v>3</v>
      </c>
      <c r="E173" s="8" t="n">
        <v>3250</v>
      </c>
      <c r="F173" s="7" t="s">
        <v>77</v>
      </c>
      <c r="G173" s="9" t="n">
        <v>2921</v>
      </c>
      <c r="H173" s="9" t="n">
        <v>2921</v>
      </c>
      <c r="I173" s="10" t="n">
        <f aca="false">IF(E173=0,0,(E173-H173)/E173)</f>
        <v>0.101230769230769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3360</v>
      </c>
      <c r="L173" s="8" t="n">
        <f aca="false">D173*E173</f>
        <v>9750</v>
      </c>
      <c r="M173" s="8" t="n">
        <f aca="false">D173*K173</f>
        <v>10080</v>
      </c>
      <c r="N173" s="8" t="n">
        <f aca="false">D173*H173</f>
        <v>8763</v>
      </c>
      <c r="O173" s="6" t="str">
        <f aca="false">IF(ISNUMBER(SEARCH(C173,F173)),"","YES")</f>
        <v>YES</v>
      </c>
      <c r="P173" s="6" t="s">
        <v>33</v>
      </c>
      <c r="Q173" s="7" t="s">
        <v>383</v>
      </c>
      <c r="R173" s="7"/>
    </row>
    <row r="174" customFormat="false" ht="22.35" hidden="false" customHeight="false" outlineLevel="0" collapsed="false">
      <c r="A174" s="6" t="n">
        <v>185</v>
      </c>
      <c r="B174" s="7" t="s">
        <v>384</v>
      </c>
      <c r="C174" s="6" t="s">
        <v>28</v>
      </c>
      <c r="D174" s="6" t="n">
        <v>3</v>
      </c>
      <c r="E174" s="8" t="n">
        <v>3900</v>
      </c>
      <c r="F174" s="7" t="s">
        <v>36</v>
      </c>
      <c r="G174" s="9" t="n">
        <v>13558</v>
      </c>
      <c r="H174" s="9" t="n">
        <v>13558</v>
      </c>
      <c r="I174" s="10" t="n">
        <f aca="false">IF(E174=0,0,(E174-H174)/E174)</f>
        <v>-2.47641025641026</v>
      </c>
      <c r="J174" s="6" t="str">
        <f aca="false">IF(E174&lt;G174,"LOSS",IF(E174&lt;H174*1.1,"THIN / RISK",IF(E174&gt;H174*1.8,"OVERPRICED?","OK")))</f>
        <v>LOSS</v>
      </c>
      <c r="K174" s="8" t="n">
        <f aca="false">IF(J174="OVERPRICED?",ROUND(H174*1.35,-1),MAX(E174,ROUND(H174*(1+$E$3),-1)))</f>
        <v>15590</v>
      </c>
      <c r="L174" s="8" t="n">
        <f aca="false">D174*E174</f>
        <v>11700</v>
      </c>
      <c r="M174" s="8" t="n">
        <f aca="false">D174*K174</f>
        <v>46770</v>
      </c>
      <c r="N174" s="8" t="n">
        <f aca="false">D174*H174</f>
        <v>40674</v>
      </c>
      <c r="O174" s="6" t="str">
        <f aca="false">IF(ISNUMBER(SEARCH(C174,F174)),"","YES")</f>
        <v>YES</v>
      </c>
      <c r="P174" s="6" t="s">
        <v>33</v>
      </c>
      <c r="Q174" s="7" t="s">
        <v>385</v>
      </c>
      <c r="R174" s="7"/>
    </row>
    <row r="175" customFormat="false" ht="32.8" hidden="false" customHeight="false" outlineLevel="0" collapsed="false">
      <c r="A175" s="6" t="n">
        <v>186</v>
      </c>
      <c r="B175" s="7" t="s">
        <v>386</v>
      </c>
      <c r="C175" s="6" t="s">
        <v>28</v>
      </c>
      <c r="D175" s="6" t="n">
        <v>3</v>
      </c>
      <c r="E175" s="8" t="n">
        <v>4550</v>
      </c>
      <c r="F175" s="7" t="s">
        <v>77</v>
      </c>
      <c r="G175" s="9" t="n">
        <v>7245</v>
      </c>
      <c r="H175" s="9" t="n">
        <v>7245</v>
      </c>
      <c r="I175" s="10" t="n">
        <f aca="false">IF(E175=0,0,(E175-H175)/E175)</f>
        <v>-0.592307692307692</v>
      </c>
      <c r="J175" s="6" t="str">
        <f aca="false">IF(E175&lt;G175,"LOSS",IF(E175&lt;H175*1.1,"THIN / RISK",IF(E175&gt;H175*1.8,"OVERPRICED?","OK")))</f>
        <v>LOSS</v>
      </c>
      <c r="K175" s="8" t="n">
        <f aca="false">IF(J175="OVERPRICED?",ROUND(H175*1.35,-1),MAX(E175,ROUND(H175*(1+$E$3),-1)))</f>
        <v>8330</v>
      </c>
      <c r="L175" s="8" t="n">
        <f aca="false">D175*E175</f>
        <v>13650</v>
      </c>
      <c r="M175" s="8" t="n">
        <f aca="false">D175*K175</f>
        <v>24990</v>
      </c>
      <c r="N175" s="8" t="n">
        <f aca="false">D175*H175</f>
        <v>21735</v>
      </c>
      <c r="O175" s="6" t="str">
        <f aca="false">IF(ISNUMBER(SEARCH(C175,F175)),"","YES")</f>
        <v>YES</v>
      </c>
      <c r="P175" s="6" t="s">
        <v>33</v>
      </c>
      <c r="Q175" s="7" t="s">
        <v>387</v>
      </c>
      <c r="R175" s="7"/>
    </row>
    <row r="176" customFormat="false" ht="22.35" hidden="false" customHeight="false" outlineLevel="0" collapsed="false">
      <c r="A176" s="6" t="n">
        <v>187</v>
      </c>
      <c r="B176" s="7" t="s">
        <v>388</v>
      </c>
      <c r="C176" s="6" t="s">
        <v>28</v>
      </c>
      <c r="D176" s="6" t="n">
        <v>2</v>
      </c>
      <c r="E176" s="8" t="n">
        <v>7150</v>
      </c>
      <c r="F176" s="7" t="s">
        <v>77</v>
      </c>
      <c r="G176" s="9" t="n">
        <v>9900</v>
      </c>
      <c r="H176" s="9" t="n">
        <v>9900</v>
      </c>
      <c r="I176" s="10" t="n">
        <f aca="false">IF(E176=0,0,(E176-H176)/E176)</f>
        <v>-0.384615384615385</v>
      </c>
      <c r="J176" s="6" t="str">
        <f aca="false">IF(E176&lt;G176,"LOSS",IF(E176&lt;H176*1.1,"THIN / RISK",IF(E176&gt;H176*1.8,"OVERPRICED?","OK")))</f>
        <v>LOSS</v>
      </c>
      <c r="K176" s="8" t="n">
        <f aca="false">IF(J176="OVERPRICED?",ROUND(H176*1.35,-1),MAX(E176,ROUND(H176*(1+$E$3),-1)))</f>
        <v>11390</v>
      </c>
      <c r="L176" s="8" t="n">
        <f aca="false">D176*E176</f>
        <v>14300</v>
      </c>
      <c r="M176" s="8" t="n">
        <f aca="false">D176*K176</f>
        <v>22780</v>
      </c>
      <c r="N176" s="8" t="n">
        <f aca="false">D176*H176</f>
        <v>19800</v>
      </c>
      <c r="O176" s="6" t="str">
        <f aca="false">IF(ISNUMBER(SEARCH(C176,F176)),"","YES")</f>
        <v>YES</v>
      </c>
      <c r="P176" s="6" t="s">
        <v>33</v>
      </c>
      <c r="Q176" s="7" t="s">
        <v>389</v>
      </c>
      <c r="R176" s="7"/>
    </row>
    <row r="177" customFormat="false" ht="22.35" hidden="false" customHeight="false" outlineLevel="0" collapsed="false">
      <c r="A177" s="6" t="n">
        <v>188</v>
      </c>
      <c r="B177" s="7" t="s">
        <v>390</v>
      </c>
      <c r="C177" s="6" t="s">
        <v>28</v>
      </c>
      <c r="D177" s="6" t="n">
        <v>1</v>
      </c>
      <c r="E177" s="8" t="n">
        <v>8450</v>
      </c>
      <c r="F177" s="7" t="s">
        <v>36</v>
      </c>
      <c r="G177" s="9" t="n">
        <v>46782</v>
      </c>
      <c r="H177" s="9" t="n">
        <v>46782</v>
      </c>
      <c r="I177" s="10" t="n">
        <f aca="false">IF(E177=0,0,(E177-H177)/E177)</f>
        <v>-4.53633136094675</v>
      </c>
      <c r="J177" s="6" t="str">
        <f aca="false">IF(E177&lt;G177,"LOSS",IF(E177&lt;H177*1.1,"THIN / RISK",IF(E177&gt;H177*1.8,"OVERPRICED?","OK")))</f>
        <v>LOSS</v>
      </c>
      <c r="K177" s="8" t="n">
        <f aca="false">IF(J177="OVERPRICED?",ROUND(H177*1.35,-1),MAX(E177,ROUND(H177*(1+$E$3),-1)))</f>
        <v>53800</v>
      </c>
      <c r="L177" s="8" t="n">
        <f aca="false">D177*E177</f>
        <v>8450</v>
      </c>
      <c r="M177" s="8" t="n">
        <f aca="false">D177*K177</f>
        <v>53800</v>
      </c>
      <c r="N177" s="8" t="n">
        <f aca="false">D177*H177</f>
        <v>46782</v>
      </c>
      <c r="O177" s="6" t="str">
        <f aca="false">IF(ISNUMBER(SEARCH(C177,F177)),"","YES")</f>
        <v>YES</v>
      </c>
      <c r="P177" s="6" t="s">
        <v>24</v>
      </c>
      <c r="Q177" s="7" t="s">
        <v>391</v>
      </c>
      <c r="R177" s="7" t="s">
        <v>26</v>
      </c>
    </row>
    <row r="178" customFormat="false" ht="22.35" hidden="false" customHeight="false" outlineLevel="0" collapsed="false">
      <c r="A178" s="6" t="n">
        <v>189</v>
      </c>
      <c r="B178" s="7" t="s">
        <v>392</v>
      </c>
      <c r="C178" s="6" t="s">
        <v>28</v>
      </c>
      <c r="D178" s="6" t="n">
        <v>1</v>
      </c>
      <c r="E178" s="8" t="n">
        <v>9750</v>
      </c>
      <c r="F178" s="7" t="s">
        <v>77</v>
      </c>
      <c r="G178" s="9" t="n">
        <v>10458</v>
      </c>
      <c r="H178" s="9" t="n">
        <v>10458</v>
      </c>
      <c r="I178" s="10" t="n">
        <f aca="false">IF(E178=0,0,(E178-H178)/E178)</f>
        <v>-0.0726153846153846</v>
      </c>
      <c r="J178" s="6" t="str">
        <f aca="false">IF(E178&lt;G178,"LOSS",IF(E178&lt;H178*1.1,"THIN / RISK",IF(E178&gt;H178*1.8,"OVERPRICED?","OK")))</f>
        <v>LOSS</v>
      </c>
      <c r="K178" s="8" t="n">
        <f aca="false">IF(J178="OVERPRICED?",ROUND(H178*1.35,-1),MAX(E178,ROUND(H178*(1+$E$3),-1)))</f>
        <v>12030</v>
      </c>
      <c r="L178" s="8" t="n">
        <f aca="false">D178*E178</f>
        <v>9750</v>
      </c>
      <c r="M178" s="8" t="n">
        <f aca="false">D178*K178</f>
        <v>12030</v>
      </c>
      <c r="N178" s="8" t="n">
        <f aca="false">D178*H178</f>
        <v>10458</v>
      </c>
      <c r="O178" s="6" t="str">
        <f aca="false">IF(ISNUMBER(SEARCH(C178,F178)),"","YES")</f>
        <v>YES</v>
      </c>
      <c r="P178" s="6" t="s">
        <v>33</v>
      </c>
      <c r="Q178" s="7" t="s">
        <v>393</v>
      </c>
      <c r="R178" s="7"/>
    </row>
    <row r="179" customFormat="false" ht="22.35" hidden="false" customHeight="false" outlineLevel="0" collapsed="false">
      <c r="A179" s="6" t="n">
        <v>190</v>
      </c>
      <c r="B179" s="7" t="s">
        <v>394</v>
      </c>
      <c r="C179" s="6" t="s">
        <v>28</v>
      </c>
      <c r="D179" s="6" t="n">
        <v>2</v>
      </c>
      <c r="E179" s="8" t="n">
        <v>2340</v>
      </c>
      <c r="F179" s="7" t="s">
        <v>77</v>
      </c>
      <c r="G179" s="9" t="n">
        <v>891</v>
      </c>
      <c r="H179" s="9" t="n">
        <v>891</v>
      </c>
      <c r="I179" s="10" t="n">
        <f aca="false">IF(E179=0,0,(E179-H179)/E179)</f>
        <v>0.619230769230769</v>
      </c>
      <c r="J179" s="6" t="str">
        <f aca="false">IF(E179&lt;G179,"LOSS",IF(E179&lt;H179*1.1,"THIN / RISK",IF(E179&gt;H179*1.8,"OVERPRICED?","OK")))</f>
        <v>OVERPRICED?</v>
      </c>
      <c r="K179" s="8" t="n">
        <f aca="false">IF(J179="OVERPRICED?",ROUND(H179*1.35,-1),MAX(E179,ROUND(H179*(1+$E$3),-1)))</f>
        <v>1200</v>
      </c>
      <c r="L179" s="8" t="n">
        <f aca="false">D179*E179</f>
        <v>4680</v>
      </c>
      <c r="M179" s="8" t="n">
        <f aca="false">D179*K179</f>
        <v>2400</v>
      </c>
      <c r="N179" s="8" t="n">
        <f aca="false">D179*H179</f>
        <v>1782</v>
      </c>
      <c r="O179" s="6" t="str">
        <f aca="false">IF(ISNUMBER(SEARCH(C179,F179)),"","YES")</f>
        <v>YES</v>
      </c>
      <c r="P179" s="6" t="s">
        <v>33</v>
      </c>
      <c r="Q179" s="7" t="s">
        <v>395</v>
      </c>
      <c r="R179" s="7"/>
    </row>
    <row r="180" customFormat="false" ht="22.35" hidden="false" customHeight="false" outlineLevel="0" collapsed="false">
      <c r="A180" s="6" t="n">
        <v>191</v>
      </c>
      <c r="B180" s="7" t="s">
        <v>394</v>
      </c>
      <c r="C180" s="6" t="s">
        <v>28</v>
      </c>
      <c r="D180" s="6" t="n">
        <v>2</v>
      </c>
      <c r="E180" s="8" t="n">
        <v>3640</v>
      </c>
      <c r="F180" s="7" t="s">
        <v>77</v>
      </c>
      <c r="G180" s="9" t="n">
        <v>1440</v>
      </c>
      <c r="H180" s="9" t="n">
        <v>1440</v>
      </c>
      <c r="I180" s="10" t="n">
        <f aca="false">IF(E180=0,0,(E180-H180)/E180)</f>
        <v>0.604395604395604</v>
      </c>
      <c r="J180" s="6" t="str">
        <f aca="false">IF(E180&lt;G180,"LOSS",IF(E180&lt;H180*1.1,"THIN / RISK",IF(E180&gt;H180*1.8,"OVERPRICED?","OK")))</f>
        <v>OVERPRICED?</v>
      </c>
      <c r="K180" s="8" t="n">
        <f aca="false">IF(J180="OVERPRICED?",ROUND(H180*1.35,-1),MAX(E180,ROUND(H180*(1+$E$3),-1)))</f>
        <v>1940</v>
      </c>
      <c r="L180" s="8" t="n">
        <f aca="false">D180*E180</f>
        <v>7280</v>
      </c>
      <c r="M180" s="8" t="n">
        <f aca="false">D180*K180</f>
        <v>3880</v>
      </c>
      <c r="N180" s="8" t="n">
        <f aca="false">D180*H180</f>
        <v>2880</v>
      </c>
      <c r="O180" s="6" t="str">
        <f aca="false">IF(ISNUMBER(SEARCH(C180,F180)),"","YES")</f>
        <v>YES</v>
      </c>
      <c r="P180" s="6" t="s">
        <v>33</v>
      </c>
      <c r="Q180" s="7" t="s">
        <v>396</v>
      </c>
      <c r="R180" s="7"/>
    </row>
    <row r="181" customFormat="false" ht="22.35" hidden="false" customHeight="false" outlineLevel="0" collapsed="false">
      <c r="A181" s="6" t="n">
        <v>192</v>
      </c>
      <c r="B181" s="7" t="s">
        <v>397</v>
      </c>
      <c r="C181" s="6" t="s">
        <v>28</v>
      </c>
      <c r="D181" s="6" t="n">
        <v>3</v>
      </c>
      <c r="E181" s="8" t="n">
        <v>1950</v>
      </c>
      <c r="F181" s="7" t="s">
        <v>167</v>
      </c>
      <c r="G181" s="9" t="n">
        <v>7685</v>
      </c>
      <c r="H181" s="9" t="n">
        <v>7685</v>
      </c>
      <c r="I181" s="10" t="n">
        <f aca="false">IF(E181=0,0,(E181-H181)/E181)</f>
        <v>-2.94102564102564</v>
      </c>
      <c r="J181" s="6" t="str">
        <f aca="false">IF(E181&lt;G181,"LOSS",IF(E181&lt;H181*1.1,"THIN / RISK",IF(E181&gt;H181*1.8,"OVERPRICED?","OK")))</f>
        <v>LOSS</v>
      </c>
      <c r="K181" s="8" t="n">
        <f aca="false">IF(J181="OVERPRICED?",ROUND(H181*1.35,-1),MAX(E181,ROUND(H181*(1+$E$3),-1)))</f>
        <v>8840</v>
      </c>
      <c r="L181" s="8" t="n">
        <f aca="false">D181*E181</f>
        <v>5850</v>
      </c>
      <c r="M181" s="8" t="n">
        <f aca="false">D181*K181</f>
        <v>26520</v>
      </c>
      <c r="N181" s="8" t="n">
        <f aca="false">D181*H181</f>
        <v>23055</v>
      </c>
      <c r="O181" s="6" t="str">
        <f aca="false">IF(ISNUMBER(SEARCH(C181,F181)),"","YES")</f>
        <v>YES</v>
      </c>
      <c r="P181" s="6" t="s">
        <v>33</v>
      </c>
      <c r="Q181" s="7" t="s">
        <v>398</v>
      </c>
      <c r="R181" s="7"/>
    </row>
    <row r="182" customFormat="false" ht="22.35" hidden="false" customHeight="false" outlineLevel="0" collapsed="false">
      <c r="A182" s="6" t="n">
        <v>193</v>
      </c>
      <c r="B182" s="7" t="s">
        <v>399</v>
      </c>
      <c r="C182" s="6" t="s">
        <v>28</v>
      </c>
      <c r="D182" s="6" t="n">
        <v>2</v>
      </c>
      <c r="E182" s="8" t="n">
        <v>5850</v>
      </c>
      <c r="F182" s="7" t="s">
        <v>167</v>
      </c>
      <c r="G182" s="9" t="n">
        <v>11948</v>
      </c>
      <c r="H182" s="9" t="n">
        <v>11948</v>
      </c>
      <c r="I182" s="10" t="n">
        <f aca="false">IF(E182=0,0,(E182-H182)/E182)</f>
        <v>-1.04239316239316</v>
      </c>
      <c r="J182" s="6" t="str">
        <f aca="false">IF(E182&lt;G182,"LOSS",IF(E182&lt;H182*1.1,"THIN / RISK",IF(E182&gt;H182*1.8,"OVERPRICED?","OK")))</f>
        <v>LOSS</v>
      </c>
      <c r="K182" s="8" t="n">
        <f aca="false">IF(J182="OVERPRICED?",ROUND(H182*1.35,-1),MAX(E182,ROUND(H182*(1+$E$3),-1)))</f>
        <v>13740</v>
      </c>
      <c r="L182" s="8" t="n">
        <f aca="false">D182*E182</f>
        <v>11700</v>
      </c>
      <c r="M182" s="8" t="n">
        <f aca="false">D182*K182</f>
        <v>27480</v>
      </c>
      <c r="N182" s="8" t="n">
        <f aca="false">D182*H182</f>
        <v>23896</v>
      </c>
      <c r="O182" s="6" t="str">
        <f aca="false">IF(ISNUMBER(SEARCH(C182,F182)),"","YES")</f>
        <v>YES</v>
      </c>
      <c r="P182" s="6" t="s">
        <v>24</v>
      </c>
      <c r="Q182" s="7" t="s">
        <v>400</v>
      </c>
      <c r="R182" s="7" t="s">
        <v>26</v>
      </c>
    </row>
    <row r="183" customFormat="false" ht="22.35" hidden="false" customHeight="false" outlineLevel="0" collapsed="false">
      <c r="A183" s="6" t="n">
        <v>194</v>
      </c>
      <c r="B183" s="7" t="s">
        <v>401</v>
      </c>
      <c r="C183" s="6" t="s">
        <v>28</v>
      </c>
      <c r="D183" s="6" t="n">
        <v>3</v>
      </c>
      <c r="E183" s="8" t="n">
        <v>1950</v>
      </c>
      <c r="F183" s="7" t="s">
        <v>167</v>
      </c>
      <c r="G183" s="9" t="n">
        <v>7387</v>
      </c>
      <c r="H183" s="9" t="n">
        <v>7387</v>
      </c>
      <c r="I183" s="10" t="n">
        <f aca="false">IF(E183=0,0,(E183-H183)/E183)</f>
        <v>-2.78820512820513</v>
      </c>
      <c r="J183" s="6" t="str">
        <f aca="false">IF(E183&lt;G183,"LOSS",IF(E183&lt;H183*1.1,"THIN / RISK",IF(E183&gt;H183*1.8,"OVERPRICED?","OK")))</f>
        <v>LOSS</v>
      </c>
      <c r="K183" s="8" t="n">
        <f aca="false">IF(J183="OVERPRICED?",ROUND(H183*1.35,-1),MAX(E183,ROUND(H183*(1+$E$3),-1)))</f>
        <v>8500</v>
      </c>
      <c r="L183" s="8" t="n">
        <f aca="false">D183*E183</f>
        <v>5850</v>
      </c>
      <c r="M183" s="8" t="n">
        <f aca="false">D183*K183</f>
        <v>25500</v>
      </c>
      <c r="N183" s="8" t="n">
        <f aca="false">D183*H183</f>
        <v>22161</v>
      </c>
      <c r="O183" s="6" t="str">
        <f aca="false">IF(ISNUMBER(SEARCH(C183,F183)),"","YES")</f>
        <v>YES</v>
      </c>
      <c r="P183" s="6" t="s">
        <v>33</v>
      </c>
      <c r="Q183" s="7" t="s">
        <v>402</v>
      </c>
      <c r="R183" s="7"/>
    </row>
    <row r="184" customFormat="false" ht="22.35" hidden="false" customHeight="false" outlineLevel="0" collapsed="false">
      <c r="A184" s="6" t="n">
        <v>195</v>
      </c>
      <c r="B184" s="7" t="s">
        <v>403</v>
      </c>
      <c r="C184" s="6" t="s">
        <v>28</v>
      </c>
      <c r="D184" s="6" t="n">
        <v>2</v>
      </c>
      <c r="E184" s="8" t="n">
        <v>5850</v>
      </c>
      <c r="F184" s="7" t="s">
        <v>167</v>
      </c>
      <c r="G184" s="9" t="n">
        <v>12788</v>
      </c>
      <c r="H184" s="9" t="n">
        <v>12788</v>
      </c>
      <c r="I184" s="10" t="n">
        <f aca="false">IF(E184=0,0,(E184-H184)/E184)</f>
        <v>-1.18598290598291</v>
      </c>
      <c r="J184" s="6" t="str">
        <f aca="false">IF(E184&lt;G184,"LOSS",IF(E184&lt;H184*1.1,"THIN / RISK",IF(E184&gt;H184*1.8,"OVERPRICED?","OK")))</f>
        <v>LOSS</v>
      </c>
      <c r="K184" s="8" t="n">
        <f aca="false">IF(J184="OVERPRICED?",ROUND(H184*1.35,-1),MAX(E184,ROUND(H184*(1+$E$3),-1)))</f>
        <v>14710</v>
      </c>
      <c r="L184" s="8" t="n">
        <f aca="false">D184*E184</f>
        <v>11700</v>
      </c>
      <c r="M184" s="8" t="n">
        <f aca="false">D184*K184</f>
        <v>29420</v>
      </c>
      <c r="N184" s="8" t="n">
        <f aca="false">D184*H184</f>
        <v>25576</v>
      </c>
      <c r="O184" s="6" t="str">
        <f aca="false">IF(ISNUMBER(SEARCH(C184,F184)),"","YES")</f>
        <v>YES</v>
      </c>
      <c r="P184" s="6" t="s">
        <v>24</v>
      </c>
      <c r="Q184" s="7" t="s">
        <v>404</v>
      </c>
      <c r="R184" s="7" t="s">
        <v>26</v>
      </c>
    </row>
    <row r="185" customFormat="false" ht="22.35" hidden="false" customHeight="false" outlineLevel="0" collapsed="false">
      <c r="A185" s="6" t="n">
        <v>196</v>
      </c>
      <c r="B185" s="7" t="s">
        <v>405</v>
      </c>
      <c r="C185" s="6" t="s">
        <v>28</v>
      </c>
      <c r="D185" s="6" t="n">
        <v>2</v>
      </c>
      <c r="E185" s="8" t="n">
        <v>4550</v>
      </c>
      <c r="F185" s="7" t="s">
        <v>77</v>
      </c>
      <c r="G185" s="9" t="n">
        <v>3006</v>
      </c>
      <c r="H185" s="9" t="n">
        <v>3006</v>
      </c>
      <c r="I185" s="10" t="n">
        <f aca="false">IF(E185=0,0,(E185-H185)/E185)</f>
        <v>0.339340659340659</v>
      </c>
      <c r="J185" s="6" t="str">
        <f aca="false">IF(E185&lt;G185,"LOSS",IF(E185&lt;H185*1.1,"THIN / RISK",IF(E185&gt;H185*1.8,"OVERPRICED?","OK")))</f>
        <v>OK</v>
      </c>
      <c r="K185" s="8" t="n">
        <f aca="false">IF(J185="OVERPRICED?",ROUND(H185*1.35,-1),MAX(E185,ROUND(H185*(1+$E$3),-1)))</f>
        <v>4550</v>
      </c>
      <c r="L185" s="8" t="n">
        <f aca="false">D185*E185</f>
        <v>9100</v>
      </c>
      <c r="M185" s="8" t="n">
        <f aca="false">D185*K185</f>
        <v>9100</v>
      </c>
      <c r="N185" s="8" t="n">
        <f aca="false">D185*H185</f>
        <v>6012</v>
      </c>
      <c r="O185" s="6" t="str">
        <f aca="false">IF(ISNUMBER(SEARCH(C185,F185)),"","YES")</f>
        <v>YES</v>
      </c>
      <c r="P185" s="6" t="s">
        <v>33</v>
      </c>
      <c r="Q185" s="7" t="s">
        <v>406</v>
      </c>
      <c r="R185" s="7"/>
    </row>
    <row r="186" customFormat="false" ht="15" hidden="false" customHeight="false" outlineLevel="0" collapsed="false">
      <c r="A186" s="6" t="n">
        <v>197</v>
      </c>
      <c r="B186" s="7" t="s">
        <v>407</v>
      </c>
      <c r="C186" s="6" t="s">
        <v>28</v>
      </c>
      <c r="D186" s="6" t="n">
        <v>1</v>
      </c>
      <c r="E186" s="8" t="n">
        <v>17940</v>
      </c>
      <c r="F186" s="7" t="s">
        <v>167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33</v>
      </c>
      <c r="Q186" s="7" t="s">
        <v>408</v>
      </c>
      <c r="R186" s="7"/>
    </row>
    <row r="187" customFormat="false" ht="22.35" hidden="false" customHeight="false" outlineLevel="0" collapsed="false">
      <c r="A187" s="6" t="n">
        <v>198</v>
      </c>
      <c r="B187" s="7" t="s">
        <v>409</v>
      </c>
      <c r="C187" s="6" t="s">
        <v>28</v>
      </c>
      <c r="D187" s="6" t="n">
        <v>1</v>
      </c>
      <c r="E187" s="8" t="n">
        <v>18850</v>
      </c>
      <c r="F187" s="7" t="s">
        <v>167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33</v>
      </c>
      <c r="Q187" s="7" t="s">
        <v>410</v>
      </c>
      <c r="R187" s="7"/>
    </row>
    <row r="188" customFormat="false" ht="15" hidden="false" customHeight="false" outlineLevel="0" collapsed="false">
      <c r="A188" s="6" t="n">
        <v>199</v>
      </c>
      <c r="B188" s="7" t="s">
        <v>411</v>
      </c>
      <c r="C188" s="6" t="s">
        <v>28</v>
      </c>
      <c r="D188" s="6" t="n">
        <v>1</v>
      </c>
      <c r="E188" s="8" t="n">
        <v>19500</v>
      </c>
      <c r="F188" s="7" t="s">
        <v>167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33</v>
      </c>
      <c r="Q188" s="7" t="s">
        <v>412</v>
      </c>
      <c r="R188" s="7"/>
    </row>
    <row r="189" customFormat="false" ht="15" hidden="false" customHeight="false" outlineLevel="0" collapsed="false">
      <c r="A189" s="6" t="n">
        <v>200</v>
      </c>
      <c r="B189" s="7" t="s">
        <v>413</v>
      </c>
      <c r="C189" s="6" t="s">
        <v>28</v>
      </c>
      <c r="D189" s="6" t="n">
        <v>1</v>
      </c>
      <c r="E189" s="8" t="n">
        <v>20800</v>
      </c>
      <c r="F189" s="7" t="s">
        <v>167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33</v>
      </c>
      <c r="Q189" s="7" t="s">
        <v>414</v>
      </c>
      <c r="R189" s="7"/>
    </row>
    <row r="190" customFormat="false" ht="15" hidden="false" customHeight="false" outlineLevel="0" collapsed="false">
      <c r="A190" s="6" t="n">
        <v>201</v>
      </c>
      <c r="B190" s="7" t="s">
        <v>415</v>
      </c>
      <c r="C190" s="6" t="s">
        <v>28</v>
      </c>
      <c r="D190" s="6" t="n">
        <v>1</v>
      </c>
      <c r="E190" s="8" t="n">
        <v>22750</v>
      </c>
      <c r="F190" s="7" t="s">
        <v>167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33</v>
      </c>
      <c r="Q190" s="7" t="s">
        <v>416</v>
      </c>
      <c r="R190" s="7"/>
    </row>
    <row r="191" customFormat="false" ht="22.35" hidden="false" customHeight="false" outlineLevel="0" collapsed="false">
      <c r="A191" s="6" t="n">
        <v>202</v>
      </c>
      <c r="B191" s="7" t="s">
        <v>417</v>
      </c>
      <c r="C191" s="6" t="s">
        <v>28</v>
      </c>
      <c r="D191" s="6" t="n">
        <v>2</v>
      </c>
      <c r="E191" s="8" t="n">
        <v>2340</v>
      </c>
      <c r="F191" s="7" t="s">
        <v>42</v>
      </c>
      <c r="G191" s="9" t="n">
        <v>1352</v>
      </c>
      <c r="H191" s="9" t="n">
        <v>1352</v>
      </c>
      <c r="I191" s="10" t="n">
        <f aca="false">IF(E191=0,0,(E191-H191)/E191)</f>
        <v>0.422222222222222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2704</v>
      </c>
      <c r="O191" s="6" t="str">
        <f aca="false">IF(ISNUMBER(SEARCH(C191,F191)),"","YES")</f>
        <v>YES</v>
      </c>
      <c r="P191" s="6" t="s">
        <v>24</v>
      </c>
      <c r="Q191" s="7" t="s">
        <v>418</v>
      </c>
      <c r="R191" s="7" t="s">
        <v>26</v>
      </c>
    </row>
    <row r="192" customFormat="false" ht="22.35" hidden="false" customHeight="false" outlineLevel="0" collapsed="false">
      <c r="A192" s="6" t="n">
        <v>204</v>
      </c>
      <c r="B192" s="7" t="s">
        <v>419</v>
      </c>
      <c r="C192" s="6" t="s">
        <v>28</v>
      </c>
      <c r="D192" s="6" t="n">
        <v>6</v>
      </c>
      <c r="E192" s="8" t="n">
        <v>845</v>
      </c>
      <c r="F192" s="7" t="s">
        <v>36</v>
      </c>
      <c r="G192" s="9" t="n">
        <v>8694</v>
      </c>
      <c r="H192" s="9" t="n">
        <v>8694</v>
      </c>
      <c r="I192" s="10" t="n">
        <f aca="false">IF(E192=0,0,(E192-H192)/E192)</f>
        <v>-9.2887573964497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10000</v>
      </c>
      <c r="L192" s="8" t="n">
        <f aca="false">D192*E192</f>
        <v>5070</v>
      </c>
      <c r="M192" s="8" t="n">
        <f aca="false">D192*K192</f>
        <v>60000</v>
      </c>
      <c r="N192" s="8" t="n">
        <f aca="false">D192*H192</f>
        <v>52164</v>
      </c>
      <c r="O192" s="6" t="str">
        <f aca="false">IF(ISNUMBER(SEARCH(C192,F192)),"","YES")</f>
        <v>YES</v>
      </c>
      <c r="P192" s="6" t="s">
        <v>33</v>
      </c>
      <c r="Q192" s="7" t="s">
        <v>420</v>
      </c>
      <c r="R192" s="7"/>
    </row>
    <row r="193" customFormat="false" ht="22.35" hidden="false" customHeight="false" outlineLevel="0" collapsed="false">
      <c r="A193" s="6" t="n">
        <v>205</v>
      </c>
      <c r="B193" s="7" t="s">
        <v>421</v>
      </c>
      <c r="C193" s="6" t="s">
        <v>28</v>
      </c>
      <c r="D193" s="6" t="n">
        <v>6</v>
      </c>
      <c r="E193" s="8" t="n">
        <v>910</v>
      </c>
      <c r="F193" s="7" t="s">
        <v>36</v>
      </c>
      <c r="G193" s="9" t="n">
        <v>6520</v>
      </c>
      <c r="H193" s="9" t="n">
        <v>6520</v>
      </c>
      <c r="I193" s="10" t="n">
        <f aca="false">IF(E193=0,0,(E193-H193)/E193)</f>
        <v>-6.16483516483517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7500</v>
      </c>
      <c r="L193" s="8" t="n">
        <f aca="false">D193*E193</f>
        <v>5460</v>
      </c>
      <c r="M193" s="8" t="n">
        <f aca="false">D193*K193</f>
        <v>45000</v>
      </c>
      <c r="N193" s="8" t="n">
        <f aca="false">D193*H193</f>
        <v>39120</v>
      </c>
      <c r="O193" s="6" t="str">
        <f aca="false">IF(ISNUMBER(SEARCH(C193,F193)),"","YES")</f>
        <v>YES</v>
      </c>
      <c r="P193" s="6" t="s">
        <v>33</v>
      </c>
      <c r="Q193" s="7" t="s">
        <v>422</v>
      </c>
      <c r="R193" s="7"/>
    </row>
    <row r="194" customFormat="false" ht="22.35" hidden="false" customHeight="false" outlineLevel="0" collapsed="false">
      <c r="A194" s="6" t="n">
        <v>206</v>
      </c>
      <c r="B194" s="7" t="s">
        <v>423</v>
      </c>
      <c r="C194" s="6" t="s">
        <v>28</v>
      </c>
      <c r="D194" s="6" t="n">
        <v>6</v>
      </c>
      <c r="E194" s="8" t="n">
        <v>1170</v>
      </c>
      <c r="F194" s="7" t="s">
        <v>36</v>
      </c>
      <c r="G194" s="9" t="n">
        <v>7650</v>
      </c>
      <c r="H194" s="9" t="n">
        <v>7650</v>
      </c>
      <c r="I194" s="10" t="n">
        <f aca="false">IF(E194=0,0,(E194-H194)/E194)</f>
        <v>-5.53846153846154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8800</v>
      </c>
      <c r="L194" s="8" t="n">
        <f aca="false">D194*E194</f>
        <v>7020</v>
      </c>
      <c r="M194" s="8" t="n">
        <f aca="false">D194*K194</f>
        <v>52800</v>
      </c>
      <c r="N194" s="8" t="n">
        <f aca="false">D194*H194</f>
        <v>45900</v>
      </c>
      <c r="O194" s="6" t="str">
        <f aca="false">IF(ISNUMBER(SEARCH(C194,F194)),"","YES")</f>
        <v>YES</v>
      </c>
      <c r="P194" s="6" t="s">
        <v>33</v>
      </c>
      <c r="Q194" s="7" t="s">
        <v>424</v>
      </c>
      <c r="R194" s="7"/>
    </row>
    <row r="195" customFormat="false" ht="22.35" hidden="false" customHeight="false" outlineLevel="0" collapsed="false">
      <c r="A195" s="6" t="n">
        <v>207</v>
      </c>
      <c r="B195" s="7" t="s">
        <v>425</v>
      </c>
      <c r="C195" s="6" t="s">
        <v>28</v>
      </c>
      <c r="D195" s="6" t="n">
        <v>4</v>
      </c>
      <c r="E195" s="8" t="n">
        <v>1430</v>
      </c>
      <c r="F195" s="7" t="s">
        <v>36</v>
      </c>
      <c r="G195" s="9" t="n">
        <v>8550</v>
      </c>
      <c r="H195" s="9" t="n">
        <v>8550</v>
      </c>
      <c r="I195" s="10" t="n">
        <f aca="false">IF(E195=0,0,(E195-H195)/E195)</f>
        <v>-4.97902097902098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9830</v>
      </c>
      <c r="L195" s="8" t="n">
        <f aca="false">D195*E195</f>
        <v>5720</v>
      </c>
      <c r="M195" s="8" t="n">
        <f aca="false">D195*K195</f>
        <v>39320</v>
      </c>
      <c r="N195" s="8" t="n">
        <f aca="false">D195*H195</f>
        <v>34200</v>
      </c>
      <c r="O195" s="6" t="str">
        <f aca="false">IF(ISNUMBER(SEARCH(C195,F195)),"","YES")</f>
        <v>YES</v>
      </c>
      <c r="P195" s="6" t="s">
        <v>33</v>
      </c>
      <c r="Q195" s="7" t="s">
        <v>426</v>
      </c>
      <c r="R195" s="7"/>
    </row>
    <row r="196" customFormat="false" ht="22.35" hidden="false" customHeight="false" outlineLevel="0" collapsed="false">
      <c r="A196" s="6" t="n">
        <v>208</v>
      </c>
      <c r="B196" s="7" t="s">
        <v>427</v>
      </c>
      <c r="C196" s="6" t="s">
        <v>28</v>
      </c>
      <c r="D196" s="6" t="n">
        <v>3</v>
      </c>
      <c r="E196" s="8" t="n">
        <v>1690</v>
      </c>
      <c r="F196" s="7" t="s">
        <v>428</v>
      </c>
      <c r="G196" s="9" t="n">
        <v>2900</v>
      </c>
      <c r="H196" s="9" t="n">
        <v>2900</v>
      </c>
      <c r="I196" s="10" t="n">
        <f aca="false">IF(E196=0,0,(E196-H196)/E196)</f>
        <v>-0.715976331360947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3340</v>
      </c>
      <c r="L196" s="8" t="n">
        <f aca="false">D196*E196</f>
        <v>5070</v>
      </c>
      <c r="M196" s="8" t="n">
        <f aca="false">D196*K196</f>
        <v>10020</v>
      </c>
      <c r="N196" s="8" t="n">
        <f aca="false">D196*H196</f>
        <v>8700</v>
      </c>
      <c r="O196" s="6" t="str">
        <f aca="false">IF(ISNUMBER(SEARCH(C196,F196)),"","YES")</f>
        <v>YES</v>
      </c>
      <c r="P196" s="6" t="s">
        <v>33</v>
      </c>
      <c r="Q196" s="7" t="s">
        <v>429</v>
      </c>
      <c r="R196" s="7"/>
    </row>
    <row r="197" customFormat="false" ht="22.35" hidden="false" customHeight="false" outlineLevel="0" collapsed="false">
      <c r="A197" s="6" t="n">
        <v>209</v>
      </c>
      <c r="B197" s="7" t="s">
        <v>430</v>
      </c>
      <c r="C197" s="6" t="s">
        <v>28</v>
      </c>
      <c r="D197" s="6" t="n">
        <v>3</v>
      </c>
      <c r="E197" s="8" t="n">
        <v>2340</v>
      </c>
      <c r="F197" s="7" t="s">
        <v>36</v>
      </c>
      <c r="G197" s="9" t="n">
        <v>16664</v>
      </c>
      <c r="H197" s="9" t="n">
        <v>16664</v>
      </c>
      <c r="I197" s="10" t="n">
        <f aca="false">IF(E197=0,0,(E197-H197)/E197)</f>
        <v>-6.12136752136752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19160</v>
      </c>
      <c r="L197" s="8" t="n">
        <f aca="false">D197*E197</f>
        <v>7020</v>
      </c>
      <c r="M197" s="8" t="n">
        <f aca="false">D197*K197</f>
        <v>57480</v>
      </c>
      <c r="N197" s="8" t="n">
        <f aca="false">D197*H197</f>
        <v>49992</v>
      </c>
      <c r="O197" s="6" t="str">
        <f aca="false">IF(ISNUMBER(SEARCH(C197,F197)),"","YES")</f>
        <v>YES</v>
      </c>
      <c r="P197" s="6" t="s">
        <v>33</v>
      </c>
      <c r="Q197" s="7" t="s">
        <v>431</v>
      </c>
      <c r="R197" s="7"/>
    </row>
    <row r="198" customFormat="false" ht="22.35" hidden="false" customHeight="false" outlineLevel="0" collapsed="false">
      <c r="A198" s="6" t="n">
        <v>210</v>
      </c>
      <c r="B198" s="7" t="s">
        <v>432</v>
      </c>
      <c r="C198" s="6" t="s">
        <v>28</v>
      </c>
      <c r="D198" s="6" t="n">
        <v>2</v>
      </c>
      <c r="E198" s="8" t="n">
        <v>2860</v>
      </c>
      <c r="F198" s="7" t="s">
        <v>36</v>
      </c>
      <c r="G198" s="9" t="n">
        <v>16664</v>
      </c>
      <c r="H198" s="9" t="n">
        <v>16664</v>
      </c>
      <c r="I198" s="10" t="n">
        <f aca="false">IF(E198=0,0,(E198-H198)/E198)</f>
        <v>-4.82657342657343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19160</v>
      </c>
      <c r="L198" s="8" t="n">
        <f aca="false">D198*E198</f>
        <v>5720</v>
      </c>
      <c r="M198" s="8" t="n">
        <f aca="false">D198*K198</f>
        <v>38320</v>
      </c>
      <c r="N198" s="8" t="n">
        <f aca="false">D198*H198</f>
        <v>33328</v>
      </c>
      <c r="O198" s="6" t="str">
        <f aca="false">IF(ISNUMBER(SEARCH(C198,F198)),"","YES")</f>
        <v>YES</v>
      </c>
      <c r="P198" s="6" t="s">
        <v>24</v>
      </c>
      <c r="Q198" s="7" t="s">
        <v>433</v>
      </c>
      <c r="R198" s="7" t="s">
        <v>26</v>
      </c>
    </row>
    <row r="199" customFormat="false" ht="22.35" hidden="false" customHeight="false" outlineLevel="0" collapsed="false">
      <c r="A199" s="6" t="n">
        <v>211</v>
      </c>
      <c r="B199" s="7" t="s">
        <v>434</v>
      </c>
      <c r="C199" s="6" t="s">
        <v>28</v>
      </c>
      <c r="D199" s="6" t="n">
        <v>1</v>
      </c>
      <c r="E199" s="8" t="n">
        <v>4160</v>
      </c>
      <c r="F199" s="7" t="s">
        <v>36</v>
      </c>
      <c r="G199" s="9" t="n">
        <v>16870</v>
      </c>
      <c r="H199" s="9" t="n">
        <v>16870</v>
      </c>
      <c r="I199" s="10" t="n">
        <f aca="false">IF(E199=0,0,(E199-H199)/E199)</f>
        <v>-3.05528846153846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19400</v>
      </c>
      <c r="L199" s="8" t="n">
        <f aca="false">D199*E199</f>
        <v>4160</v>
      </c>
      <c r="M199" s="8" t="n">
        <f aca="false">D199*K199</f>
        <v>19400</v>
      </c>
      <c r="N199" s="8" t="n">
        <f aca="false">D199*H199</f>
        <v>16870</v>
      </c>
      <c r="O199" s="6" t="str">
        <f aca="false">IF(ISNUMBER(SEARCH(C199,F199)),"","YES")</f>
        <v>YES</v>
      </c>
      <c r="P199" s="6" t="s">
        <v>24</v>
      </c>
      <c r="Q199" s="7" t="s">
        <v>435</v>
      </c>
      <c r="R199" s="7" t="s">
        <v>26</v>
      </c>
    </row>
    <row r="200" customFormat="false" ht="22.35" hidden="false" customHeight="false" outlineLevel="0" collapsed="false">
      <c r="A200" s="6" t="n">
        <v>212</v>
      </c>
      <c r="B200" s="7" t="s">
        <v>436</v>
      </c>
      <c r="C200" s="6" t="s">
        <v>28</v>
      </c>
      <c r="D200" s="6" t="n">
        <v>1</v>
      </c>
      <c r="E200" s="8" t="n">
        <v>5460</v>
      </c>
      <c r="F200" s="7" t="s">
        <v>36</v>
      </c>
      <c r="G200" s="9" t="n">
        <v>16870</v>
      </c>
      <c r="H200" s="9" t="n">
        <v>16870</v>
      </c>
      <c r="I200" s="10" t="n">
        <f aca="false">IF(E200=0,0,(E200-H200)/E200)</f>
        <v>-2.08974358974359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19400</v>
      </c>
      <c r="L200" s="8" t="n">
        <f aca="false">D200*E200</f>
        <v>5460</v>
      </c>
      <c r="M200" s="8" t="n">
        <f aca="false">D200*K200</f>
        <v>19400</v>
      </c>
      <c r="N200" s="8" t="n">
        <f aca="false">D200*H200</f>
        <v>16870</v>
      </c>
      <c r="O200" s="6" t="str">
        <f aca="false">IF(ISNUMBER(SEARCH(C200,F200)),"","YES")</f>
        <v>YES</v>
      </c>
      <c r="P200" s="6" t="s">
        <v>33</v>
      </c>
      <c r="Q200" s="7" t="s">
        <v>437</v>
      </c>
      <c r="R200" s="7"/>
    </row>
    <row r="201" customFormat="false" ht="22.35" hidden="false" customHeight="false" outlineLevel="0" collapsed="false">
      <c r="A201" s="6" t="n">
        <v>213</v>
      </c>
      <c r="B201" s="7" t="s">
        <v>438</v>
      </c>
      <c r="C201" s="6" t="s">
        <v>28</v>
      </c>
      <c r="D201" s="6" t="n">
        <v>2</v>
      </c>
      <c r="E201" s="8" t="n">
        <v>455</v>
      </c>
      <c r="F201" s="7" t="s">
        <v>77</v>
      </c>
      <c r="G201" s="9" t="n">
        <v>813</v>
      </c>
      <c r="H201" s="9" t="n">
        <v>813</v>
      </c>
      <c r="I201" s="10" t="n">
        <f aca="false">IF(E201=0,0,(E201-H201)/E201)</f>
        <v>-0.786813186813187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930</v>
      </c>
      <c r="L201" s="8" t="n">
        <f aca="false">D201*E201</f>
        <v>910</v>
      </c>
      <c r="M201" s="8" t="n">
        <f aca="false">D201*K201</f>
        <v>1860</v>
      </c>
      <c r="N201" s="8" t="n">
        <f aca="false">D201*H201</f>
        <v>1626</v>
      </c>
      <c r="O201" s="6" t="str">
        <f aca="false">IF(ISNUMBER(SEARCH(C201,F201)),"","YES")</f>
        <v>YES</v>
      </c>
      <c r="P201" s="6" t="s">
        <v>33</v>
      </c>
      <c r="Q201" s="7" t="s">
        <v>439</v>
      </c>
      <c r="R201" s="7"/>
    </row>
    <row r="202" customFormat="false" ht="32.8" hidden="false" customHeight="false" outlineLevel="0" collapsed="false">
      <c r="A202" s="6" t="n">
        <v>214</v>
      </c>
      <c r="B202" s="7" t="s">
        <v>440</v>
      </c>
      <c r="C202" s="6" t="s">
        <v>28</v>
      </c>
      <c r="D202" s="6" t="n">
        <v>2</v>
      </c>
      <c r="E202" s="8" t="n">
        <v>494</v>
      </c>
      <c r="F202" s="7" t="s">
        <v>77</v>
      </c>
      <c r="G202" s="9" t="n">
        <v>813</v>
      </c>
      <c r="H202" s="9" t="n">
        <v>813</v>
      </c>
      <c r="I202" s="10" t="n">
        <f aca="false">IF(E202=0,0,(E202-H202)/E202)</f>
        <v>-0.645748987854251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930</v>
      </c>
      <c r="L202" s="8" t="n">
        <f aca="false">D202*E202</f>
        <v>988</v>
      </c>
      <c r="M202" s="8" t="n">
        <f aca="false">D202*K202</f>
        <v>1860</v>
      </c>
      <c r="N202" s="8" t="n">
        <f aca="false">D202*H202</f>
        <v>1626</v>
      </c>
      <c r="O202" s="6" t="str">
        <f aca="false">IF(ISNUMBER(SEARCH(C202,F202)),"","YES")</f>
        <v>YES</v>
      </c>
      <c r="P202" s="6" t="s">
        <v>24</v>
      </c>
      <c r="Q202" s="7" t="s">
        <v>441</v>
      </c>
      <c r="R202" s="7" t="s">
        <v>26</v>
      </c>
    </row>
    <row r="203" customFormat="false" ht="22.35" hidden="false" customHeight="false" outlineLevel="0" collapsed="false">
      <c r="A203" s="6" t="n">
        <v>215</v>
      </c>
      <c r="B203" s="7" t="s">
        <v>442</v>
      </c>
      <c r="C203" s="6" t="s">
        <v>28</v>
      </c>
      <c r="D203" s="6" t="n">
        <v>2</v>
      </c>
      <c r="E203" s="8" t="n">
        <v>585</v>
      </c>
      <c r="F203" s="7" t="s">
        <v>77</v>
      </c>
      <c r="G203" s="9" t="n">
        <v>1806</v>
      </c>
      <c r="H203" s="9" t="n">
        <v>1806</v>
      </c>
      <c r="I203" s="10" t="n">
        <f aca="false">IF(E203=0,0,(E203-H203)/E203)</f>
        <v>-2.08717948717949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2080</v>
      </c>
      <c r="L203" s="8" t="n">
        <f aca="false">D203*E203</f>
        <v>1170</v>
      </c>
      <c r="M203" s="8" t="n">
        <f aca="false">D203*K203</f>
        <v>4160</v>
      </c>
      <c r="N203" s="8" t="n">
        <f aca="false">D203*H203</f>
        <v>3612</v>
      </c>
      <c r="O203" s="6" t="str">
        <f aca="false">IF(ISNUMBER(SEARCH(C203,F203)),"","YES")</f>
        <v>YES</v>
      </c>
      <c r="P203" s="6" t="s">
        <v>33</v>
      </c>
      <c r="Q203" s="7" t="s">
        <v>443</v>
      </c>
      <c r="R203" s="7"/>
    </row>
    <row r="204" customFormat="false" ht="22.35" hidden="false" customHeight="false" outlineLevel="0" collapsed="false">
      <c r="A204" s="6" t="n">
        <v>216</v>
      </c>
      <c r="B204" s="7" t="s">
        <v>444</v>
      </c>
      <c r="C204" s="6" t="s">
        <v>28</v>
      </c>
      <c r="D204" s="6" t="n">
        <v>2</v>
      </c>
      <c r="E204" s="8" t="n">
        <v>715</v>
      </c>
      <c r="F204" s="7" t="s">
        <v>77</v>
      </c>
      <c r="G204" s="9" t="n">
        <v>1806</v>
      </c>
      <c r="H204" s="9" t="n">
        <v>1806</v>
      </c>
      <c r="I204" s="10" t="n">
        <f aca="false">IF(E204=0,0,(E204-H204)/E204)</f>
        <v>-1.52587412587413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2080</v>
      </c>
      <c r="L204" s="8" t="n">
        <f aca="false">D204*E204</f>
        <v>1430</v>
      </c>
      <c r="M204" s="8" t="n">
        <f aca="false">D204*K204</f>
        <v>4160</v>
      </c>
      <c r="N204" s="8" t="n">
        <f aca="false">D204*H204</f>
        <v>3612</v>
      </c>
      <c r="O204" s="6" t="str">
        <f aca="false">IF(ISNUMBER(SEARCH(C204,F204)),"","YES")</f>
        <v>YES</v>
      </c>
      <c r="P204" s="6" t="s">
        <v>33</v>
      </c>
      <c r="Q204" s="7" t="s">
        <v>445</v>
      </c>
      <c r="R204" s="7"/>
    </row>
    <row r="205" customFormat="false" ht="32.8" hidden="false" customHeight="false" outlineLevel="0" collapsed="false">
      <c r="A205" s="6" t="n">
        <v>217</v>
      </c>
      <c r="B205" s="7" t="s">
        <v>446</v>
      </c>
      <c r="C205" s="6" t="s">
        <v>28</v>
      </c>
      <c r="D205" s="6" t="n">
        <v>2</v>
      </c>
      <c r="E205" s="8" t="n">
        <v>910</v>
      </c>
      <c r="F205" s="7" t="s">
        <v>77</v>
      </c>
      <c r="G205" s="9" t="n">
        <v>5143</v>
      </c>
      <c r="H205" s="9" t="n">
        <v>5143</v>
      </c>
      <c r="I205" s="10" t="n">
        <f aca="false">IF(E205=0,0,(E205-H205)/E205)</f>
        <v>-4.65164835164835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5910</v>
      </c>
      <c r="L205" s="8" t="n">
        <f aca="false">D205*E205</f>
        <v>1820</v>
      </c>
      <c r="M205" s="8" t="n">
        <f aca="false">D205*K205</f>
        <v>11820</v>
      </c>
      <c r="N205" s="8" t="n">
        <f aca="false">D205*H205</f>
        <v>10286</v>
      </c>
      <c r="O205" s="6" t="str">
        <f aca="false">IF(ISNUMBER(SEARCH(C205,F205)),"","YES")</f>
        <v>YES</v>
      </c>
      <c r="P205" s="6" t="s">
        <v>24</v>
      </c>
      <c r="Q205" s="7" t="s">
        <v>447</v>
      </c>
      <c r="R205" s="7" t="s">
        <v>26</v>
      </c>
    </row>
    <row r="206" customFormat="false" ht="22.35" hidden="false" customHeight="false" outlineLevel="0" collapsed="false">
      <c r="A206" s="6" t="n">
        <v>218</v>
      </c>
      <c r="B206" s="7" t="s">
        <v>448</v>
      </c>
      <c r="C206" s="6" t="s">
        <v>28</v>
      </c>
      <c r="D206" s="6" t="n">
        <v>2</v>
      </c>
      <c r="E206" s="8" t="n">
        <v>1170</v>
      </c>
      <c r="F206" s="7" t="s">
        <v>77</v>
      </c>
      <c r="G206" s="9" t="n">
        <v>5143</v>
      </c>
      <c r="H206" s="9" t="n">
        <v>5143</v>
      </c>
      <c r="I206" s="10" t="n">
        <f aca="false">IF(E206=0,0,(E206-H206)/E206)</f>
        <v>-3.3957264957265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5910</v>
      </c>
      <c r="L206" s="8" t="n">
        <f aca="false">D206*E206</f>
        <v>2340</v>
      </c>
      <c r="M206" s="8" t="n">
        <f aca="false">D206*K206</f>
        <v>11820</v>
      </c>
      <c r="N206" s="8" t="n">
        <f aca="false">D206*H206</f>
        <v>10286</v>
      </c>
      <c r="O206" s="6" t="str">
        <f aca="false">IF(ISNUMBER(SEARCH(C206,F206)),"","YES")</f>
        <v>YES</v>
      </c>
      <c r="P206" s="6" t="s">
        <v>33</v>
      </c>
      <c r="Q206" s="7" t="s">
        <v>449</v>
      </c>
      <c r="R206" s="7"/>
    </row>
    <row r="207" customFormat="false" ht="22.35" hidden="false" customHeight="false" outlineLevel="0" collapsed="false">
      <c r="A207" s="6" t="n">
        <v>219</v>
      </c>
      <c r="B207" s="7" t="s">
        <v>450</v>
      </c>
      <c r="C207" s="6" t="s">
        <v>28</v>
      </c>
      <c r="D207" s="6" t="n">
        <v>1</v>
      </c>
      <c r="E207" s="8" t="n">
        <v>1040</v>
      </c>
      <c r="F207" s="7" t="s">
        <v>77</v>
      </c>
      <c r="G207" s="9" t="n">
        <v>2037</v>
      </c>
      <c r="H207" s="9" t="n">
        <v>2037</v>
      </c>
      <c r="I207" s="10" t="n">
        <f aca="false">IF(E207=0,0,(E207-H207)/E207)</f>
        <v>-0.958653846153846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2340</v>
      </c>
      <c r="L207" s="8" t="n">
        <f aca="false">D207*E207</f>
        <v>1040</v>
      </c>
      <c r="M207" s="8" t="n">
        <f aca="false">D207*K207</f>
        <v>2340</v>
      </c>
      <c r="N207" s="8" t="n">
        <f aca="false">D207*H207</f>
        <v>2037</v>
      </c>
      <c r="O207" s="6" t="str">
        <f aca="false">IF(ISNUMBER(SEARCH(C207,F207)),"","YES")</f>
        <v>YES</v>
      </c>
      <c r="P207" s="6" t="s">
        <v>24</v>
      </c>
      <c r="Q207" s="7" t="s">
        <v>451</v>
      </c>
      <c r="R207" s="7" t="s">
        <v>26</v>
      </c>
    </row>
    <row r="208" customFormat="false" ht="32.8" hidden="false" customHeight="false" outlineLevel="0" collapsed="false">
      <c r="A208" s="6" t="n">
        <v>220</v>
      </c>
      <c r="B208" s="7" t="s">
        <v>452</v>
      </c>
      <c r="C208" s="6" t="s">
        <v>28</v>
      </c>
      <c r="D208" s="6" t="n">
        <v>1</v>
      </c>
      <c r="E208" s="8" t="n">
        <v>1430</v>
      </c>
      <c r="F208" s="7" t="s">
        <v>77</v>
      </c>
      <c r="G208" s="9" t="n">
        <v>3728</v>
      </c>
      <c r="H208" s="9" t="n">
        <v>3728</v>
      </c>
      <c r="I208" s="10" t="n">
        <f aca="false">IF(E208=0,0,(E208-H208)/E208)</f>
        <v>-1.60699300699301</v>
      </c>
      <c r="J208" s="6" t="str">
        <f aca="false">IF(E208&lt;G208,"LOSS",IF(E208&lt;H208*1.1,"THIN / RISK",IF(E208&gt;H208*1.8,"OVERPRICED?","OK")))</f>
        <v>LOSS</v>
      </c>
      <c r="K208" s="8" t="n">
        <f aca="false">IF(J208="OVERPRICED?",ROUND(H208*1.35,-1),MAX(E208,ROUND(H208*(1+$E$3),-1)))</f>
        <v>4290</v>
      </c>
      <c r="L208" s="8" t="n">
        <f aca="false">D208*E208</f>
        <v>1430</v>
      </c>
      <c r="M208" s="8" t="n">
        <f aca="false">D208*K208</f>
        <v>4290</v>
      </c>
      <c r="N208" s="8" t="n">
        <f aca="false">D208*H208</f>
        <v>3728</v>
      </c>
      <c r="O208" s="6" t="str">
        <f aca="false">IF(ISNUMBER(SEARCH(C208,F208)),"","YES")</f>
        <v>YES</v>
      </c>
      <c r="P208" s="6" t="s">
        <v>24</v>
      </c>
      <c r="Q208" s="7" t="s">
        <v>453</v>
      </c>
      <c r="R208" s="7" t="s">
        <v>26</v>
      </c>
    </row>
    <row r="209" customFormat="false" ht="22.35" hidden="false" customHeight="false" outlineLevel="0" collapsed="false">
      <c r="A209" s="6" t="n">
        <v>221</v>
      </c>
      <c r="B209" s="7" t="s">
        <v>454</v>
      </c>
      <c r="C209" s="6" t="s">
        <v>28</v>
      </c>
      <c r="D209" s="6" t="n">
        <v>1</v>
      </c>
      <c r="E209" s="8" t="n">
        <v>1950</v>
      </c>
      <c r="F209" s="7" t="s">
        <v>77</v>
      </c>
      <c r="G209" s="9" t="n">
        <v>3728</v>
      </c>
      <c r="H209" s="9" t="n">
        <v>3728</v>
      </c>
      <c r="I209" s="10" t="n">
        <f aca="false">IF(E209=0,0,(E209-H209)/E209)</f>
        <v>-0.911794871794872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4290</v>
      </c>
      <c r="L209" s="8" t="n">
        <f aca="false">D209*E209</f>
        <v>1950</v>
      </c>
      <c r="M209" s="8" t="n">
        <f aca="false">D209*K209</f>
        <v>4290</v>
      </c>
      <c r="N209" s="8" t="n">
        <f aca="false">D209*H209</f>
        <v>3728</v>
      </c>
      <c r="O209" s="6" t="str">
        <f aca="false">IF(ISNUMBER(SEARCH(C209,F209)),"","YES")</f>
        <v>YES</v>
      </c>
      <c r="P209" s="6" t="s">
        <v>33</v>
      </c>
      <c r="Q209" s="7" t="s">
        <v>455</v>
      </c>
      <c r="R209" s="7"/>
    </row>
    <row r="210" customFormat="false" ht="22.35" hidden="false" customHeight="false" outlineLevel="0" collapsed="false">
      <c r="A210" s="6" t="n">
        <v>222</v>
      </c>
      <c r="B210" s="7" t="s">
        <v>456</v>
      </c>
      <c r="C210" s="6" t="s">
        <v>28</v>
      </c>
      <c r="D210" s="6" t="n">
        <v>1</v>
      </c>
      <c r="E210" s="8" t="n">
        <v>15600</v>
      </c>
      <c r="F210" s="7" t="s">
        <v>39</v>
      </c>
      <c r="G210" s="9" t="n">
        <v>27000</v>
      </c>
      <c r="H210" s="9" t="n">
        <v>27000</v>
      </c>
      <c r="I210" s="10" t="n">
        <f aca="false">IF(E210=0,0,(E210-H210)/E210)</f>
        <v>-0.730769230769231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31050</v>
      </c>
      <c r="L210" s="8" t="n">
        <f aca="false">D210*E210</f>
        <v>15600</v>
      </c>
      <c r="M210" s="8" t="n">
        <f aca="false">D210*K210</f>
        <v>31050</v>
      </c>
      <c r="N210" s="8" t="n">
        <f aca="false">D210*H210</f>
        <v>27000</v>
      </c>
      <c r="O210" s="6" t="str">
        <f aca="false">IF(ISNUMBER(SEARCH(C210,F210)),"","YES")</f>
        <v>YES</v>
      </c>
      <c r="P210" s="6" t="s">
        <v>33</v>
      </c>
      <c r="Q210" s="7" t="s">
        <v>457</v>
      </c>
      <c r="R210" s="7"/>
    </row>
    <row r="211" customFormat="false" ht="22.35" hidden="false" customHeight="false" outlineLevel="0" collapsed="false">
      <c r="A211" s="6" t="n">
        <v>223</v>
      </c>
      <c r="B211" s="7" t="s">
        <v>458</v>
      </c>
      <c r="C211" s="6" t="s">
        <v>28</v>
      </c>
      <c r="D211" s="6" t="n">
        <v>2</v>
      </c>
      <c r="E211" s="8" t="n">
        <v>30940</v>
      </c>
      <c r="F211" s="7" t="s">
        <v>153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33</v>
      </c>
      <c r="Q211" s="7" t="s">
        <v>459</v>
      </c>
      <c r="R211" s="7"/>
    </row>
    <row r="212" customFormat="false" ht="22.35" hidden="false" customHeight="false" outlineLevel="0" collapsed="false">
      <c r="A212" s="6" t="n">
        <v>224</v>
      </c>
      <c r="B212" s="7" t="s">
        <v>460</v>
      </c>
      <c r="C212" s="6" t="s">
        <v>28</v>
      </c>
      <c r="D212" s="6" t="n">
        <v>2</v>
      </c>
      <c r="E212" s="8" t="n">
        <v>54600</v>
      </c>
      <c r="F212" s="7" t="s">
        <v>39</v>
      </c>
      <c r="G212" s="9" t="n">
        <v>39600</v>
      </c>
      <c r="H212" s="9" t="n">
        <v>39600</v>
      </c>
      <c r="I212" s="10" t="n">
        <f aca="false">IF(E212=0,0,(E212-H212)/E212)</f>
        <v>0.274725274725275</v>
      </c>
      <c r="J212" s="6" t="str">
        <f aca="false">IF(E212&lt;G212,"LOSS",IF(E212&lt;H212*1.1,"THIN / RISK",IF(E212&gt;H212*1.8,"OVERPRICED?","OK")))</f>
        <v>OK</v>
      </c>
      <c r="K212" s="8" t="n">
        <f aca="false">IF(J212="OVERPRICED?",ROUND(H212*1.35,-1),MAX(E212,ROUND(H212*(1+$E$3),-1)))</f>
        <v>54600</v>
      </c>
      <c r="L212" s="8" t="n">
        <f aca="false">D212*E212</f>
        <v>109200</v>
      </c>
      <c r="M212" s="8" t="n">
        <f aca="false">D212*K212</f>
        <v>109200</v>
      </c>
      <c r="N212" s="8" t="n">
        <f aca="false">D212*H212</f>
        <v>79200</v>
      </c>
      <c r="O212" s="6" t="str">
        <f aca="false">IF(ISNUMBER(SEARCH(C212,F212)),"","YES")</f>
        <v>YES</v>
      </c>
      <c r="P212" s="6" t="s">
        <v>24</v>
      </c>
      <c r="Q212" s="7" t="s">
        <v>461</v>
      </c>
      <c r="R212" s="7" t="s">
        <v>26</v>
      </c>
    </row>
    <row r="213" customFormat="false" ht="22.35" hidden="false" customHeight="false" outlineLevel="0" collapsed="false">
      <c r="A213" s="6" t="n">
        <v>225</v>
      </c>
      <c r="B213" s="7" t="s">
        <v>462</v>
      </c>
      <c r="C213" s="6" t="s">
        <v>28</v>
      </c>
      <c r="D213" s="6" t="n">
        <v>24</v>
      </c>
      <c r="E213" s="8" t="n">
        <v>1170</v>
      </c>
      <c r="F213" s="7" t="s">
        <v>39</v>
      </c>
      <c r="G213" s="9" t="n">
        <v>1570</v>
      </c>
      <c r="H213" s="9" t="n">
        <v>1570</v>
      </c>
      <c r="I213" s="10" t="n">
        <f aca="false">IF(E213=0,0,(E213-H213)/E213)</f>
        <v>-0.341880341880342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1810</v>
      </c>
      <c r="L213" s="8" t="n">
        <f aca="false">D213*E213</f>
        <v>28080</v>
      </c>
      <c r="M213" s="8" t="n">
        <f aca="false">D213*K213</f>
        <v>43440</v>
      </c>
      <c r="N213" s="8" t="n">
        <f aca="false">D213*H213</f>
        <v>37680</v>
      </c>
      <c r="O213" s="6" t="str">
        <f aca="false">IF(ISNUMBER(SEARCH(C213,F213)),"","YES")</f>
        <v>YES</v>
      </c>
      <c r="P213" s="6" t="s">
        <v>33</v>
      </c>
      <c r="Q213" s="7" t="s">
        <v>463</v>
      </c>
      <c r="R213" s="7"/>
    </row>
    <row r="214" customFormat="false" ht="22.35" hidden="false" customHeight="false" outlineLevel="0" collapsed="false">
      <c r="A214" s="6" t="n">
        <v>226</v>
      </c>
      <c r="B214" s="7" t="s">
        <v>464</v>
      </c>
      <c r="C214" s="6" t="s">
        <v>28</v>
      </c>
      <c r="D214" s="6" t="n">
        <v>24</v>
      </c>
      <c r="E214" s="8" t="n">
        <v>1430</v>
      </c>
      <c r="F214" s="7" t="s">
        <v>39</v>
      </c>
      <c r="G214" s="9" t="n">
        <v>5371</v>
      </c>
      <c r="H214" s="9" t="n">
        <v>5371</v>
      </c>
      <c r="I214" s="10" t="n">
        <f aca="false">IF(E214=0,0,(E214-H214)/E214)</f>
        <v>-2.75594405594406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6180</v>
      </c>
      <c r="L214" s="8" t="n">
        <f aca="false">D214*E214</f>
        <v>34320</v>
      </c>
      <c r="M214" s="8" t="n">
        <f aca="false">D214*K214</f>
        <v>148320</v>
      </c>
      <c r="N214" s="8" t="n">
        <f aca="false">D214*H214</f>
        <v>128904</v>
      </c>
      <c r="O214" s="6" t="str">
        <f aca="false">IF(ISNUMBER(SEARCH(C214,F214)),"","YES")</f>
        <v>YES</v>
      </c>
      <c r="P214" s="6" t="s">
        <v>24</v>
      </c>
      <c r="Q214" s="7" t="s">
        <v>465</v>
      </c>
      <c r="R214" s="7" t="s">
        <v>26</v>
      </c>
    </row>
    <row r="215" customFormat="false" ht="22.35" hidden="false" customHeight="false" outlineLevel="0" collapsed="false">
      <c r="A215" s="6" t="n">
        <v>227</v>
      </c>
      <c r="B215" s="7" t="s">
        <v>466</v>
      </c>
      <c r="C215" s="6" t="s">
        <v>28</v>
      </c>
      <c r="D215" s="6" t="n">
        <v>24</v>
      </c>
      <c r="E215" s="8" t="n">
        <v>1820</v>
      </c>
      <c r="F215" s="7" t="s">
        <v>39</v>
      </c>
      <c r="G215" s="9" t="n">
        <v>11651</v>
      </c>
      <c r="H215" s="9" t="n">
        <v>11651</v>
      </c>
      <c r="I215" s="10" t="n">
        <f aca="false">IF(E215=0,0,(E215-H215)/E215)</f>
        <v>-5.40164835164835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13400</v>
      </c>
      <c r="L215" s="8" t="n">
        <f aca="false">D215*E215</f>
        <v>43680</v>
      </c>
      <c r="M215" s="8" t="n">
        <f aca="false">D215*K215</f>
        <v>321600</v>
      </c>
      <c r="N215" s="8" t="n">
        <f aca="false">D215*H215</f>
        <v>279624</v>
      </c>
      <c r="O215" s="6" t="str">
        <f aca="false">IF(ISNUMBER(SEARCH(C215,F215)),"","YES")</f>
        <v>YES</v>
      </c>
      <c r="P215" s="6" t="s">
        <v>24</v>
      </c>
      <c r="Q215" s="7" t="s">
        <v>467</v>
      </c>
      <c r="R215" s="7" t="s">
        <v>26</v>
      </c>
    </row>
    <row r="216" customFormat="false" ht="22.35" hidden="false" customHeight="false" outlineLevel="0" collapsed="false">
      <c r="A216" s="6" t="n">
        <v>228</v>
      </c>
      <c r="B216" s="7" t="s">
        <v>468</v>
      </c>
      <c r="C216" s="6" t="s">
        <v>28</v>
      </c>
      <c r="D216" s="6" t="n">
        <v>24</v>
      </c>
      <c r="E216" s="8" t="n">
        <v>2860</v>
      </c>
      <c r="F216" s="7" t="s">
        <v>39</v>
      </c>
      <c r="G216" s="9" t="n">
        <v>2088</v>
      </c>
      <c r="H216" s="9" t="n">
        <v>2088</v>
      </c>
      <c r="I216" s="10" t="n">
        <f aca="false">IF(E216=0,0,(E216-H216)/E216)</f>
        <v>0.26993006993007</v>
      </c>
      <c r="J216" s="6" t="str">
        <f aca="false">IF(E216&lt;G216,"LOSS",IF(E216&lt;H216*1.1,"THIN / RISK",IF(E216&gt;H216*1.8,"OVERPRICED?","OK")))</f>
        <v>OK</v>
      </c>
      <c r="K216" s="8" t="n">
        <f aca="false">IF(J216="OVERPRICED?",ROUND(H216*1.35,-1),MAX(E216,ROUND(H216*(1+$E$3),-1)))</f>
        <v>2860</v>
      </c>
      <c r="L216" s="8" t="n">
        <f aca="false">D216*E216</f>
        <v>68640</v>
      </c>
      <c r="M216" s="8" t="n">
        <f aca="false">D216*K216</f>
        <v>68640</v>
      </c>
      <c r="N216" s="8" t="n">
        <f aca="false">D216*H216</f>
        <v>50112</v>
      </c>
      <c r="O216" s="6" t="str">
        <f aca="false">IF(ISNUMBER(SEARCH(C216,F216)),"","YES")</f>
        <v>YES</v>
      </c>
      <c r="P216" s="6" t="s">
        <v>24</v>
      </c>
      <c r="Q216" s="7" t="s">
        <v>469</v>
      </c>
      <c r="R216" s="7" t="s">
        <v>26</v>
      </c>
    </row>
    <row r="217" customFormat="false" ht="22.35" hidden="false" customHeight="false" outlineLevel="0" collapsed="false">
      <c r="A217" s="6" t="n">
        <v>229</v>
      </c>
      <c r="B217" s="7" t="s">
        <v>470</v>
      </c>
      <c r="C217" s="6" t="s">
        <v>28</v>
      </c>
      <c r="D217" s="6" t="n">
        <v>24</v>
      </c>
      <c r="E217" s="8" t="n">
        <v>2340</v>
      </c>
      <c r="F217" s="7" t="s">
        <v>39</v>
      </c>
      <c r="G217" s="9" t="n">
        <v>7569</v>
      </c>
      <c r="H217" s="9" t="n">
        <v>7569</v>
      </c>
      <c r="I217" s="10" t="n">
        <f aca="false">IF(E217=0,0,(E217-H217)/E217)</f>
        <v>-2.23461538461538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8700</v>
      </c>
      <c r="L217" s="8" t="n">
        <f aca="false">D217*E217</f>
        <v>56160</v>
      </c>
      <c r="M217" s="8" t="n">
        <f aca="false">D217*K217</f>
        <v>208800</v>
      </c>
      <c r="N217" s="8" t="n">
        <f aca="false">D217*H217</f>
        <v>181656</v>
      </c>
      <c r="O217" s="6" t="str">
        <f aca="false">IF(ISNUMBER(SEARCH(C217,F217)),"","YES")</f>
        <v>YES</v>
      </c>
      <c r="P217" s="6" t="s">
        <v>24</v>
      </c>
      <c r="Q217" s="7" t="s">
        <v>471</v>
      </c>
      <c r="R217" s="7" t="s">
        <v>26</v>
      </c>
    </row>
    <row r="218" customFormat="false" ht="22.35" hidden="false" customHeight="false" outlineLevel="0" collapsed="false">
      <c r="A218" s="6" t="n">
        <v>230</v>
      </c>
      <c r="B218" s="7" t="s">
        <v>472</v>
      </c>
      <c r="C218" s="6" t="s">
        <v>28</v>
      </c>
      <c r="D218" s="6" t="n">
        <v>1</v>
      </c>
      <c r="E218" s="8" t="n">
        <v>9750</v>
      </c>
      <c r="F218" s="7" t="s">
        <v>473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24</v>
      </c>
      <c r="Q218" s="7" t="s">
        <v>474</v>
      </c>
      <c r="R218" s="7" t="s">
        <v>26</v>
      </c>
    </row>
    <row r="219" customFormat="false" ht="22.35" hidden="false" customHeight="false" outlineLevel="0" collapsed="false">
      <c r="A219" s="6" t="n">
        <v>231</v>
      </c>
      <c r="B219" s="7" t="s">
        <v>475</v>
      </c>
      <c r="C219" s="6" t="s">
        <v>28</v>
      </c>
      <c r="D219" s="6" t="n">
        <v>1</v>
      </c>
      <c r="E219" s="8" t="n">
        <v>12350</v>
      </c>
      <c r="F219" s="7" t="s">
        <v>473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33</v>
      </c>
      <c r="Q219" s="7" t="s">
        <v>476</v>
      </c>
      <c r="R219" s="7"/>
    </row>
    <row r="220" customFormat="false" ht="22.35" hidden="false" customHeight="false" outlineLevel="0" collapsed="false">
      <c r="A220" s="6" t="n">
        <v>233</v>
      </c>
      <c r="B220" s="7" t="s">
        <v>477</v>
      </c>
      <c r="C220" s="6" t="s">
        <v>111</v>
      </c>
      <c r="D220" s="6" t="n">
        <v>2</v>
      </c>
      <c r="E220" s="8" t="n">
        <v>52000</v>
      </c>
      <c r="F220" s="7" t="s">
        <v>111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33</v>
      </c>
      <c r="Q220" s="7" t="s">
        <v>478</v>
      </c>
      <c r="R220" s="7"/>
    </row>
    <row r="221" customFormat="false" ht="22.35" hidden="false" customHeight="false" outlineLevel="0" collapsed="false">
      <c r="A221" s="6" t="n">
        <v>234</v>
      </c>
      <c r="B221" s="7" t="s">
        <v>479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24</v>
      </c>
      <c r="Q221" s="7" t="s">
        <v>480</v>
      </c>
      <c r="R221" s="7" t="s">
        <v>26</v>
      </c>
    </row>
    <row r="222" customFormat="false" ht="22.35" hidden="false" customHeight="false" outlineLevel="0" collapsed="false">
      <c r="A222" s="6" t="n">
        <v>235</v>
      </c>
      <c r="B222" s="7" t="s">
        <v>481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500</v>
      </c>
      <c r="H222" s="9" t="n">
        <v>500</v>
      </c>
      <c r="I222" s="10" t="n">
        <f aca="false">IF(E222=0,0,(E222-H222)/E222)</f>
        <v>0.825174825174825</v>
      </c>
      <c r="J222" s="6" t="str">
        <f aca="false">IF(E222&lt;G222,"LOSS",IF(E222&lt;H222*1.1,"THIN / RISK",IF(E222&gt;H222*1.8,"OVERPRICED?","OK")))</f>
        <v>OVERPRICED?</v>
      </c>
      <c r="K222" s="8" t="n">
        <f aca="false">IF(J222="OVERPRICED?",ROUND(H222*1.35,-1),MAX(E222,ROUND(H222*(1+$E$3),-1)))</f>
        <v>680</v>
      </c>
      <c r="L222" s="8" t="n">
        <f aca="false">D222*E222</f>
        <v>8580</v>
      </c>
      <c r="M222" s="8" t="n">
        <f aca="false">D222*K222</f>
        <v>2040</v>
      </c>
      <c r="N222" s="8" t="n">
        <f aca="false">D222*H222</f>
        <v>1500</v>
      </c>
      <c r="O222" s="6" t="str">
        <f aca="false">IF(ISNUMBER(SEARCH(C222,F222)),"","YES")</f>
        <v>YES</v>
      </c>
      <c r="P222" s="6" t="s">
        <v>24</v>
      </c>
      <c r="Q222" s="7" t="s">
        <v>482</v>
      </c>
      <c r="R222" s="7" t="s">
        <v>26</v>
      </c>
    </row>
    <row r="223" customFormat="false" ht="22.35" hidden="false" customHeight="false" outlineLevel="0" collapsed="false">
      <c r="A223" s="6" t="n">
        <v>236</v>
      </c>
      <c r="B223" s="7" t="s">
        <v>483</v>
      </c>
      <c r="C223" s="6" t="s">
        <v>22</v>
      </c>
      <c r="D223" s="6" t="n">
        <v>200</v>
      </c>
      <c r="E223" s="8" t="n">
        <v>2860</v>
      </c>
      <c r="F223" s="7" t="s">
        <v>22</v>
      </c>
      <c r="G223" s="9" t="n">
        <v>3609</v>
      </c>
      <c r="H223" s="9" t="n">
        <v>3609</v>
      </c>
      <c r="I223" s="10" t="n">
        <f aca="false">IF(E223=0,0,(E223-H223)/E223)</f>
        <v>-0.261888111888112</v>
      </c>
      <c r="J223" s="6" t="str">
        <f aca="false">IF(E223&lt;G223,"LOSS",IF(E223&lt;H223*1.1,"THIN / RISK",IF(E223&gt;H223*1.8,"OVERPRICED?","OK")))</f>
        <v>LOSS</v>
      </c>
      <c r="K223" s="8" t="n">
        <f aca="false">IF(J223="OVERPRICED?",ROUND(H223*1.35,-1),MAX(E223,ROUND(H223*(1+$E$3),-1)))</f>
        <v>4150</v>
      </c>
      <c r="L223" s="8" t="n">
        <f aca="false">D223*E223</f>
        <v>572000</v>
      </c>
      <c r="M223" s="8" t="n">
        <f aca="false">D223*K223</f>
        <v>830000</v>
      </c>
      <c r="N223" s="8" t="n">
        <f aca="false">D223*H223</f>
        <v>721800</v>
      </c>
      <c r="O223" s="6" t="str">
        <f aca="false">IF(ISNUMBER(SEARCH(C223,F223)),"","YES")</f>
        <v/>
      </c>
      <c r="P223" s="6" t="s">
        <v>24</v>
      </c>
      <c r="Q223" s="7" t="s">
        <v>484</v>
      </c>
      <c r="R223" s="7" t="s">
        <v>26</v>
      </c>
    </row>
    <row r="224" customFormat="false" ht="22.35" hidden="false" customHeight="false" outlineLevel="0" collapsed="false">
      <c r="A224" s="6" t="n">
        <v>237</v>
      </c>
      <c r="B224" s="7" t="s">
        <v>485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150</v>
      </c>
      <c r="H224" s="9" t="n">
        <v>150</v>
      </c>
      <c r="I224" s="10" t="n">
        <f aca="false">IF(E224=0,0,(E224-H224)/E224)</f>
        <v>0.822485207100592</v>
      </c>
      <c r="J224" s="6" t="str">
        <f aca="false">IF(E224&lt;G224,"LOSS",IF(E224&lt;H224*1.1,"THIN / RISK",IF(E224&gt;H224*1.8,"OVERPRICED?","OK")))</f>
        <v>OVERPRICED?</v>
      </c>
      <c r="K224" s="8" t="n">
        <f aca="false">IF(J224="OVERPRICED?",ROUND(H224*1.35,-1),MAX(E224,ROUND(H224*(1+$E$3),-1)))</f>
        <v>200</v>
      </c>
      <c r="L224" s="8" t="n">
        <f aca="false">D224*E224</f>
        <v>20280</v>
      </c>
      <c r="M224" s="8" t="n">
        <f aca="false">D224*K224</f>
        <v>4800</v>
      </c>
      <c r="N224" s="8" t="n">
        <f aca="false">D224*H224</f>
        <v>3600</v>
      </c>
      <c r="O224" s="6" t="str">
        <f aca="false">IF(ISNUMBER(SEARCH(C224,F224)),"","YES")</f>
        <v>YES</v>
      </c>
      <c r="P224" s="6" t="s">
        <v>24</v>
      </c>
      <c r="Q224" s="7" t="s">
        <v>486</v>
      </c>
      <c r="R224" s="7" t="s">
        <v>26</v>
      </c>
    </row>
    <row r="225" customFormat="false" ht="15" hidden="false" customHeight="false" outlineLevel="0" collapsed="false">
      <c r="A225" s="6" t="n">
        <v>238</v>
      </c>
      <c r="B225" s="7" t="s">
        <v>487</v>
      </c>
      <c r="C225" s="6" t="s">
        <v>28</v>
      </c>
      <c r="D225" s="6" t="n">
        <v>6</v>
      </c>
      <c r="E225" s="8" t="n">
        <v>8450</v>
      </c>
      <c r="F225" s="7" t="s">
        <v>488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33</v>
      </c>
      <c r="Q225" s="7" t="s">
        <v>489</v>
      </c>
      <c r="R225" s="7"/>
    </row>
    <row r="226" customFormat="false" ht="22.35" hidden="false" customHeight="false" outlineLevel="0" collapsed="false">
      <c r="A226" s="6" t="n">
        <v>239</v>
      </c>
      <c r="B226" s="7" t="s">
        <v>490</v>
      </c>
      <c r="C226" s="6" t="s">
        <v>111</v>
      </c>
      <c r="D226" s="6" t="n">
        <v>50</v>
      </c>
      <c r="E226" s="8" t="n">
        <v>65000</v>
      </c>
      <c r="F226" s="7" t="s">
        <v>111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33</v>
      </c>
      <c r="Q226" s="7" t="s">
        <v>491</v>
      </c>
      <c r="R226" s="7"/>
    </row>
    <row r="227" customFormat="false" ht="22.35" hidden="false" customHeight="false" outlineLevel="0" collapsed="false">
      <c r="A227" s="6" t="n">
        <v>240</v>
      </c>
      <c r="B227" s="7" t="s">
        <v>492</v>
      </c>
      <c r="C227" s="6" t="s">
        <v>28</v>
      </c>
      <c r="D227" s="6" t="n">
        <v>50</v>
      </c>
      <c r="E227" s="8" t="n">
        <v>325</v>
      </c>
      <c r="F227" s="7" t="s">
        <v>36</v>
      </c>
      <c r="G227" s="9" t="n">
        <v>1080</v>
      </c>
      <c r="H227" s="9" t="n">
        <v>1080</v>
      </c>
      <c r="I227" s="10" t="n">
        <f aca="false">IF(E227=0,0,(E227-H227)/E227)</f>
        <v>-2.32307692307692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1240</v>
      </c>
      <c r="L227" s="8" t="n">
        <f aca="false">D227*E227</f>
        <v>16250</v>
      </c>
      <c r="M227" s="8" t="n">
        <f aca="false">D227*K227</f>
        <v>62000</v>
      </c>
      <c r="N227" s="8" t="n">
        <f aca="false">D227*H227</f>
        <v>54000</v>
      </c>
      <c r="O227" s="6" t="str">
        <f aca="false">IF(ISNUMBER(SEARCH(C227,F227)),"","YES")</f>
        <v>YES</v>
      </c>
      <c r="P227" s="6" t="s">
        <v>33</v>
      </c>
      <c r="Q227" s="7" t="s">
        <v>493</v>
      </c>
      <c r="R227" s="7"/>
    </row>
    <row r="228" customFormat="false" ht="15" hidden="false" customHeight="false" outlineLevel="0" collapsed="false">
      <c r="B228" s="3" t="s">
        <v>494</v>
      </c>
      <c r="L228" s="11" t="n">
        <f aca="false">SUM(L6:L227)</f>
        <v>12209508</v>
      </c>
      <c r="M228" s="11" t="n">
        <f aca="false">SUM(M6:M227)</f>
        <v>15639815</v>
      </c>
      <c r="N228" s="11" t="n">
        <f aca="false">SUM(N6:N227)</f>
        <v>12578406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495</v>
      </c>
    </row>
    <row r="3" customFormat="false" ht="15" hidden="false" customHeight="false" outlineLevel="0" collapsed="false">
      <c r="A3" s="13" t="s">
        <v>496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497</v>
      </c>
      <c r="B4" s="11" t="n">
        <f aca="false">COUNTIF('Rate Check'!J6:J227,"LOSS")</f>
        <v>118</v>
      </c>
    </row>
    <row r="5" customFormat="false" ht="15" hidden="false" customHeight="false" outlineLevel="0" collapsed="false">
      <c r="A5" s="13" t="s">
        <v>498</v>
      </c>
      <c r="B5" s="11" t="n">
        <f aca="false">COUNTIF('Rate Check'!J6:J227,"THIN / RISK")</f>
        <v>10</v>
      </c>
    </row>
    <row r="6" customFormat="false" ht="15" hidden="false" customHeight="false" outlineLevel="0" collapsed="false">
      <c r="A6" s="13" t="s">
        <v>499</v>
      </c>
      <c r="B6" s="11" t="n">
        <f aca="false">COUNTIF('Rate Check'!J6:J227,"OK")</f>
        <v>63</v>
      </c>
    </row>
    <row r="7" customFormat="false" ht="15" hidden="false" customHeight="false" outlineLevel="0" collapsed="false">
      <c r="A7" s="13" t="s">
        <v>500</v>
      </c>
      <c r="B7" s="11" t="n">
        <f aca="false">COUNTIF('Rate Check'!J6:J227,"OVERPRICED?")</f>
        <v>31</v>
      </c>
    </row>
    <row r="8" customFormat="false" ht="15" hidden="false" customHeight="false" outlineLevel="0" collapsed="false">
      <c r="A8" s="13" t="s">
        <v>501</v>
      </c>
      <c r="B8" s="11" t="n">
        <f aca="false">COUNTIF('Rate Check'!O6:O227,"YES")</f>
        <v>181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502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503</v>
      </c>
      <c r="B11" s="11" t="n">
        <f aca="false">'Rate Check'!N228</f>
        <v>12578406</v>
      </c>
    </row>
    <row r="12" customFormat="false" ht="15" hidden="false" customHeight="false" outlineLevel="0" collapsed="false">
      <c r="A12" s="13" t="s">
        <v>504</v>
      </c>
      <c r="B12" s="11" t="n">
        <f aca="false">B10-B11</f>
        <v>-368898</v>
      </c>
    </row>
    <row r="13" customFormat="false" ht="15" hidden="false" customHeight="false" outlineLevel="0" collapsed="false">
      <c r="A13" s="13" t="s">
        <v>505</v>
      </c>
      <c r="B13" s="14" t="n">
        <f aca="false">IF(B10=0,0,B12/B10)</f>
        <v>-0.0302139938808345</v>
      </c>
    </row>
    <row r="14" customFormat="false" ht="15" hidden="false" customHeight="false" outlineLevel="0" collapsed="false">
      <c r="A14" s="13" t="s">
        <v>506</v>
      </c>
      <c r="B14" s="11" t="n">
        <f aca="false">SUMPRODUCT(('Rate Check'!E6:E227&lt;'Rate Check'!H6:H227)*('Rate Check'!H6:H227-'Rate Check'!E6:E227)*'Rate Check'!D6:D227)</f>
        <v>3459092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507</v>
      </c>
      <c r="B16" s="11" t="n">
        <f aca="false">'Rate Check'!M228</f>
        <v>15639815</v>
      </c>
    </row>
    <row r="17" customFormat="false" ht="15" hidden="false" customHeight="false" outlineLevel="0" collapsed="false">
      <c r="A17" s="13" t="s">
        <v>508</v>
      </c>
      <c r="B17" s="14" t="n">
        <f aca="false">IF(B16=0,0,(B16-B11)/B16)</f>
        <v>0.195744578820146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509</v>
      </c>
      <c r="B19" s="11" t="n">
        <f aca="false">COUNTIF('Rate Check'!P6:P227,"V")</f>
        <v>143</v>
      </c>
    </row>
    <row r="20" customFormat="false" ht="15" hidden="false" customHeight="false" outlineLevel="0" collapsed="false">
      <c r="A20" s="13" t="s">
        <v>510</v>
      </c>
      <c r="B20" s="11" t="n">
        <f aca="false">COUNTIF('Rate Check'!P6:P227,"S")</f>
        <v>79</v>
      </c>
    </row>
    <row r="21" customFormat="false" ht="15" hidden="false" customHeight="false" outlineLevel="0" collapsed="false">
      <c r="A21" s="13" t="s">
        <v>511</v>
      </c>
      <c r="B21" s="11" t="n">
        <f aca="false">COUNTIF('Rate Check'!P6:P227,"N")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512</v>
      </c>
    </row>
    <row r="3" customFormat="false" ht="15" hidden="false" customHeight="false" outlineLevel="0" collapsed="false">
      <c r="A3" s="13" t="s">
        <v>513</v>
      </c>
      <c r="B3" s="15" t="s">
        <v>514</v>
      </c>
    </row>
    <row r="4" customFormat="false" ht="15" hidden="false" customHeight="false" outlineLevel="0" collapsed="false">
      <c r="A4" s="13" t="s">
        <v>515</v>
      </c>
      <c r="B4" s="15" t="s">
        <v>516</v>
      </c>
    </row>
    <row r="5" customFormat="false" ht="15" hidden="false" customHeight="false" outlineLevel="0" collapsed="false">
      <c r="A5" s="13" t="s">
        <v>517</v>
      </c>
      <c r="B5" s="15" t="s">
        <v>518</v>
      </c>
    </row>
    <row r="6" customFormat="false" ht="15" hidden="false" customHeight="false" outlineLevel="0" collapsed="false">
      <c r="A6" s="13" t="s">
        <v>519</v>
      </c>
      <c r="B6" s="15" t="s">
        <v>520</v>
      </c>
    </row>
    <row r="7" customFormat="false" ht="15" hidden="false" customHeight="false" outlineLevel="0" collapsed="false">
      <c r="A7" s="13" t="s">
        <v>521</v>
      </c>
      <c r="B7" s="15" t="s">
        <v>522</v>
      </c>
    </row>
    <row r="8" customFormat="false" ht="15" hidden="false" customHeight="false" outlineLevel="0" collapsed="false">
      <c r="A8" s="13" t="s">
        <v>523</v>
      </c>
      <c r="B8" s="15" t="s">
        <v>524</v>
      </c>
    </row>
    <row r="9" customFormat="false" ht="15" hidden="false" customHeight="false" outlineLevel="0" collapsed="false">
      <c r="A9" s="13" t="s">
        <v>525</v>
      </c>
      <c r="B9" s="15" t="s">
        <v>526</v>
      </c>
    </row>
    <row r="10" customFormat="false" ht="15" hidden="false" customHeight="false" outlineLevel="0" collapsed="false">
      <c r="A10" s="13" t="s">
        <v>527</v>
      </c>
      <c r="B10" s="15" t="s">
        <v>528</v>
      </c>
    </row>
    <row r="11" customFormat="false" ht="15" hidden="false" customHeight="false" outlineLevel="0" collapsed="false">
      <c r="A11" s="13" t="s">
        <v>529</v>
      </c>
      <c r="B11" s="15" t="s">
        <v>530</v>
      </c>
    </row>
    <row r="12" customFormat="false" ht="15" hidden="false" customHeight="false" outlineLevel="0" collapsed="false">
      <c r="A12" s="13" t="s">
        <v>531</v>
      </c>
      <c r="B12" s="15" t="s">
        <v>532</v>
      </c>
    </row>
    <row r="13" customFormat="false" ht="15" hidden="false" customHeight="false" outlineLevel="0" collapsed="false">
      <c r="A13" s="13" t="s">
        <v>533</v>
      </c>
      <c r="B13" s="15" t="s">
        <v>534</v>
      </c>
    </row>
    <row r="14" customFormat="false" ht="15" hidden="false" customHeight="false" outlineLevel="0" collapsed="false">
      <c r="A14" s="13" t="s">
        <v>535</v>
      </c>
      <c r="B14" s="15" t="s">
        <v>536</v>
      </c>
    </row>
    <row r="15" customFormat="false" ht="15" hidden="false" customHeight="false" outlineLevel="0" collapsed="false">
      <c r="A15" s="13" t="s">
        <v>537</v>
      </c>
      <c r="B15" s="15" t="s">
        <v>538</v>
      </c>
    </row>
    <row r="16" customFormat="false" ht="15" hidden="false" customHeight="false" outlineLevel="0" collapsed="false">
      <c r="A16" s="13" t="s">
        <v>539</v>
      </c>
      <c r="B16" s="15" t="s">
        <v>540</v>
      </c>
    </row>
    <row r="17" customFormat="false" ht="15" hidden="false" customHeight="false" outlineLevel="0" collapsed="false">
      <c r="A17" s="13" t="s">
        <v>541</v>
      </c>
      <c r="B17" s="15" t="s">
        <v>542</v>
      </c>
    </row>
    <row r="18" customFormat="false" ht="15" hidden="false" customHeight="false" outlineLevel="0" collapsed="false">
      <c r="A18" s="13" t="s">
        <v>543</v>
      </c>
      <c r="B18" s="15" t="s">
        <v>544</v>
      </c>
    </row>
    <row r="19" customFormat="false" ht="15" hidden="false" customHeight="false" outlineLevel="0" collapsed="false">
      <c r="A19" s="13" t="s">
        <v>545</v>
      </c>
      <c r="B19" s="15" t="s">
        <v>546</v>
      </c>
    </row>
    <row r="20" customFormat="false" ht="15" hidden="false" customHeight="false" outlineLevel="0" collapsed="false">
      <c r="A20" s="13" t="s">
        <v>547</v>
      </c>
      <c r="B20" s="15" t="s">
        <v>548</v>
      </c>
    </row>
    <row r="21" customFormat="false" ht="15" hidden="false" customHeight="false" outlineLevel="0" collapsed="false">
      <c r="A21" s="13" t="s">
        <v>549</v>
      </c>
      <c r="B21" s="15" t="s">
        <v>550</v>
      </c>
    </row>
    <row r="22" customFormat="false" ht="15" hidden="false" customHeight="false" outlineLevel="0" collapsed="false">
      <c r="A22" s="13" t="s">
        <v>551</v>
      </c>
      <c r="B22" s="15" t="s">
        <v>552</v>
      </c>
    </row>
    <row r="23" customFormat="false" ht="15" hidden="false" customHeight="false" outlineLevel="0" collapsed="false">
      <c r="A23" s="13" t="s">
        <v>553</v>
      </c>
      <c r="B23" s="15" t="s">
        <v>554</v>
      </c>
    </row>
    <row r="24" customFormat="false" ht="15" hidden="false" customHeight="false" outlineLevel="0" collapsed="false">
      <c r="A24" s="13" t="s">
        <v>555</v>
      </c>
      <c r="B24" s="15" t="s">
        <v>556</v>
      </c>
    </row>
    <row r="25" customFormat="false" ht="15" hidden="false" customHeight="false" outlineLevel="0" collapsed="false">
      <c r="A25" s="13" t="s">
        <v>557</v>
      </c>
      <c r="B25" s="15" t="s">
        <v>558</v>
      </c>
    </row>
    <row r="26" customFormat="false" ht="15" hidden="false" customHeight="false" outlineLevel="0" collapsed="false">
      <c r="A26" s="13" t="s">
        <v>559</v>
      </c>
      <c r="B26" s="15" t="s">
        <v>560</v>
      </c>
    </row>
    <row r="27" customFormat="false" ht="15" hidden="false" customHeight="false" outlineLevel="0" collapsed="false">
      <c r="A27" s="13" t="s">
        <v>561</v>
      </c>
      <c r="B27" s="15" t="s">
        <v>562</v>
      </c>
    </row>
    <row r="28" customFormat="false" ht="15" hidden="false" customHeight="false" outlineLevel="0" collapsed="false">
      <c r="A28" s="13" t="s">
        <v>563</v>
      </c>
      <c r="B28" s="15" t="s">
        <v>564</v>
      </c>
    </row>
    <row r="29" customFormat="false" ht="15" hidden="false" customHeight="false" outlineLevel="0" collapsed="false">
      <c r="A29" s="13" t="s">
        <v>565</v>
      </c>
      <c r="B29" s="15" t="s">
        <v>566</v>
      </c>
    </row>
    <row r="30" customFormat="false" ht="15" hidden="false" customHeight="false" outlineLevel="0" collapsed="false">
      <c r="A30" s="13" t="s">
        <v>567</v>
      </c>
      <c r="B30" s="15" t="s">
        <v>568</v>
      </c>
    </row>
    <row r="31" customFormat="false" ht="15" hidden="false" customHeight="false" outlineLevel="0" collapsed="false">
      <c r="A31" s="13" t="s">
        <v>569</v>
      </c>
      <c r="B31" s="15" t="s">
        <v>570</v>
      </c>
    </row>
    <row r="32" customFormat="false" ht="15" hidden="false" customHeight="false" outlineLevel="0" collapsed="false">
      <c r="A32" s="13" t="s">
        <v>571</v>
      </c>
      <c r="B32" s="15" t="s">
        <v>572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2026-10-09T16:24:05Z</dcterms:created>
  <dc:creator>openpyxl</dc:creator>
  <dc:description/>
  <dc:language>en-US</dc:language>
  <cp:lastModifiedBy/>
  <dcterms:modified xsi:type="dcterms:W3CDTF">2026-10-09T16:24:06Z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