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<sst xmlns="http://schemas.openxmlformats.org/spreadsheetml/2006/main" count="1239" uniqueCount="465">
  <si>
    <t xml:space="preserve">Zidane Corporation - Quote PR-217 &amp; PR-228: Brand + Buying Rate Check</t>
  </si>
  <si>
    <t xml:space="preserve">Buying rates = Pakistani online retail (toolsmart.pk, w11stop.com, kamadi.pk, ktools.pk, purchaser.com.pk etc.), Oct 2026. Confidence V = seen online, P = sister item online, E = market estimate - phone pe confirm karo.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</si>
  <si>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</si>
  <si>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</si>
  <si>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</si>
  <si>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</si>
  <si>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</si>
  <si>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</si>
  <si>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</si>
  <si>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</si>
  <si>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</si>
  <si>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</si>
  <si>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</si>
  <si>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</si>
  <si>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</si>
  <si>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</si>
  <si>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</si>
  <si>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</si>
  <si>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</si>
  <si>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Confidence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</si>
  <si>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</si>
  <si>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</si>
  <si>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</si>
  <si>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</si>
  <si>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</si>
  <si>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E</t>
  </si>
  <si>
    <t xml:space="preserve">Daraz/hardware mkt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</si>
  <si>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</si>
  <si>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</si>
  <si>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</si>
  <si>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</si>
  <si>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Licota nails nahi banata</t>
  </si>
  <si>
    <t xml:space="preserve">MECHANICAL JACK 5 TON (Japan or Germany)</t>
  </si>
  <si>
    <t xml:space="preserve">Masada (Japan) / Yato</t>
  </si>
  <si>
    <t xml:space="preserve">Importer quote needed</t>
  </si>
  <si>
    <t xml:space="preserve">Licota jack nahi banata; Japan brand confirm karo</t>
  </si>
  <si>
    <t xml:space="preserve">DRILL BIT 08 MM (Yato or any Good brand taiwan)</t>
  </si>
  <si>
    <t xml:space="preserve">Yato</t>
  </si>
  <si>
    <t xml:space="preserve">ktools/imartpk Yato</t>
  </si>
  <si>
    <t xml:space="preserve">MECHANICAL JACK 03 TONS (Japan or germany)</t>
  </si>
  <si>
    <t xml:space="preserve">SAFETY HELMET (WHITE)</t>
  </si>
  <si>
    <t xml:space="preserve">Market</t>
  </si>
  <si>
    <t xml:space="preserve">SAFETY GOOGLES</t>
  </si>
  <si>
    <t xml:space="preserve">7 DRAWER TOOL TROLLEY</t>
  </si>
  <si>
    <t xml:space="preserve">Licota (AWX series, empty)</t>
  </si>
  <si>
    <t xml:space="preserve">P</t>
  </si>
  <si>
    <t xml:space="preserve">goldpeak PH Licota 7-drawer PHP26k + import; ktools Force 7-drawer</t>
  </si>
  <si>
    <t xml:space="preserve">Empty ya tools ke saath? Confirm</t>
  </si>
  <si>
    <t xml:space="preserve">DOUBLE OPEN RING OFFSET WRENCH SET (12PCS)</t>
  </si>
  <si>
    <t xml:space="preserve">toolsmart Licota 14pc set 25,660</t>
  </si>
  <si>
    <t xml:space="preserve">DOUBLE OPEN END WRENCH 6 TO 32 (12 PCS SET)</t>
  </si>
  <si>
    <t xml:space="preserve">toolsmart Licota; Ingco 12pc 9,899</t>
  </si>
  <si>
    <t xml:space="preserve">DOUBLE OPEN END WRENCH 36X41</t>
  </si>
  <si>
    <t xml:space="preserve">w11stop Licota single 10x11 = 530 (scaled)</t>
  </si>
  <si>
    <t xml:space="preserve">DOUBLE OPEN END WRENCH 41X46</t>
  </si>
  <si>
    <t xml:space="preserve">w11stop Licota singles (scaled)</t>
  </si>
  <si>
    <t xml:space="preserve">COMBINATION WRENCH 8 TO 32 (14 PCS SET)</t>
  </si>
  <si>
    <t xml:space="preserve">V</t>
  </si>
  <si>
    <t xml:space="preserve">toolsmart Licota 14pc combo 25,660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</si>
  <si>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</si>
  <si>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</si>
  <si>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</si>
  <si>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5,460</t>
  </si>
  <si>
    <t xml:space="preserve">HOLLOW PUNCH (3MM-25MM) (15PCS SET)</t>
  </si>
  <si>
    <t xml:space="preserve">ingcotool Harden 12pc 4,699; Licota not in PK</t>
  </si>
  <si>
    <t xml:space="preserve">Licota PK mein nahi mila</t>
  </si>
  <si>
    <t xml:space="preserve">LONG TYPE HEX KEY WRENCH SET 09 PCS</t>
  </si>
  <si>
    <t xml:space="preserve">toolsmart 4,400; w11stop 2,320</t>
  </si>
  <si>
    <t xml:space="preserve">SHORT TYPE HEX KEY WRENCH SET (09PCS)</t>
  </si>
  <si>
    <t xml:space="preserve">toolsmart/w11stop Licota hex</t>
  </si>
  <si>
    <t xml:space="preserve">LONG TYPE HEX WRENCH SET 09 PCS</t>
  </si>
  <si>
    <t xml:space="preserve">Item 17 ka duplicate lagta hai</t>
  </si>
  <si>
    <t xml:space="preserve">ALLEN HEX KEY 12MM</t>
  </si>
  <si>
    <t xml:space="preserve">w11stop Licota 4mm = 790 (scaled)</t>
  </si>
  <si>
    <t xml:space="preserve">ALLEN (HEX) KEY 14MM</t>
  </si>
  <si>
    <t xml:space="preserve">w11stop Licota (scaled)</t>
  </si>
  <si>
    <t xml:space="preserve">ALLEN (HEX) KEY 16MM</t>
  </si>
  <si>
    <t xml:space="preserve">CIRCLIP PLIER INTERNAL STRAIGHT 175MM</t>
  </si>
  <si>
    <t xml:space="preserve">toolsmart Licota pliers 3,830-5,210</t>
  </si>
  <si>
    <t xml:space="preserve">CIRCLIP PLIER INTERNAL BENT 175MM</t>
  </si>
  <si>
    <t xml:space="preserve">toolsmart Licota pliers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</si>
  <si>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</si>
  <si>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</si>
  <si>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</si>
  <si>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 Licota pliers (scaled)</t>
  </si>
  <si>
    <t xml:space="preserve">CIRCLIP PLIER EXTERNAL STRAIGHT 230MM</t>
  </si>
  <si>
    <t xml:space="preserve">CHISEL SET (05 PCS SET)</t>
  </si>
  <si>
    <t xml:space="preserve">toolsmart Licota 5pc 4,000-4,720</t>
  </si>
  <si>
    <t xml:space="preserve">PIPE WRENCH SIZE 10"</t>
  </si>
  <si>
    <t xml:space="preserve">toolsmart Licota 18" 9,620 (scaled)</t>
  </si>
  <si>
    <t xml:space="preserve">PIPE WRENCH SIZE 12"</t>
  </si>
  <si>
    <t xml:space="preserve">PIPE WRENCH SIZE 18"</t>
  </si>
  <si>
    <t xml:space="preserve">toolsmart Licota 18" 9,620</t>
  </si>
  <si>
    <t xml:space="preserve">PIPE WRENCH SIZE 24"</t>
  </si>
  <si>
    <t xml:space="preserve">toolsmart Licota 18" (scaled); Harden 24" 6,560</t>
  </si>
  <si>
    <t xml:space="preserve">PIPE WRENCH SIZE 36"</t>
  </si>
  <si>
    <t xml:space="preserve">toolsmart Licota (scaled); Wiseup 36" 6,300</t>
  </si>
  <si>
    <t xml:space="preserve">SLEDGE HAMMER 1 LBS WITH FIBREGLASS HANDLE</t>
  </si>
  <si>
    <t xml:space="preserve">toolsmart Harden fibreglass 6lb 6,480 (Licota ~2x)</t>
  </si>
  <si>
    <t xml:space="preserve">SLEDGE HAMMER 3 LBS WITH FIBREGLASS HANDLE</t>
  </si>
  <si>
    <t xml:space="preserve">toolsmart Harden fibreglass (Licota premium)</t>
  </si>
  <si>
    <t xml:space="preserve">SOFT FACE DEAD BLOW HAMMER 50MM</t>
  </si>
  <si>
    <t xml:space="preserve">pakistanpowertools Harden dead blow 1,987-2,450 (Licota premium)</t>
  </si>
  <si>
    <t xml:space="preserve">VICE GRIP PLIER 08"</t>
  </si>
  <si>
    <t xml:space="preserve">ingcotool locking plier 1,499; Licota premium</t>
  </si>
  <si>
    <t xml:space="preserve">CORDLESS IMPACT WRENCH 185NM (Bosch)</t>
  </si>
  <si>
    <t xml:space="preserve">Bosch Professional</t>
  </si>
  <si>
    <t xml:space="preserve">Bosch GDX 180-Li</t>
  </si>
  <si>
    <t xml:space="preserve">ktools 45,000 solo / 79,000 kit; kamadi 75,200</t>
  </si>
  <si>
    <t xml:space="preserve">Kit (battery+charger) ho to loss</t>
  </si>
  <si>
    <t xml:space="preserve">CORDLESS IMPACT WRENCH 350N (Bosch)</t>
  </si>
  <si>
    <t xml:space="preserve">Bosch GDS 18V-350</t>
  </si>
  <si>
    <t xml:space="preserve">No PK listing; est from GDX/GDS range</t>
  </si>
  <si>
    <t xml:space="preserve">CORDLESS IMPACT WRENCH 1000N (Bosch)</t>
  </si>
  <si>
    <t xml:space="preserve">Bosch GDS 18V-1000</t>
  </si>
  <si>
    <t xml:space="preserve">ktools 70,000 solo (oos); kamadi 143,800 kit</t>
  </si>
  <si>
    <t xml:space="preserve">Kit diya to har piece par 37k loss</t>
  </si>
  <si>
    <t xml:space="preserve">HEX IMPACT ADAPTOR 1/2" FEMALE TO 1/4" FEMALE</t>
  </si>
  <si>
    <t xml:space="preserve">toolsmart Licota impact accessories</t>
  </si>
  <si>
    <t xml:space="preserve">FLAT FILE 12"</t>
  </si>
  <si>
    <t xml:space="preserve">Market (Licota files PK mein nahi)</t>
  </si>
  <si>
    <t xml:space="preserve">ROUNDE FILE 12"</t>
  </si>
  <si>
    <t xml:space="preserve">UNIVERSAL PULLER 2-ARMED WITH HOOK BRAKE 21</t>
  </si>
  <si>
    <t xml:space="preserve">w11stop Licota ATB-1017D 19,880</t>
  </si>
  <si>
    <t xml:space="preserve">UNIVERSAL PULLER 2-ARMED WITH HOOK BRAK 250</t>
  </si>
  <si>
    <t xml:space="preserve">w11stop Licota 2-jaw ATB-1003G 32,700</t>
  </si>
  <si>
    <t xml:space="preserve">UNIVERSAL PULLER 2-ARMED 160 X 300 MM 5T</t>
  </si>
  <si>
    <t xml:space="preserve">w11stop Licota pullers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</si>
  <si>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</si>
  <si>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</si>
  <si>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</si>
  <si>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</si>
  <si>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w11stop Licota 3-jaw ATB-1004F 22,500-38,100</t>
  </si>
  <si>
    <t xml:space="preserve">MECHANICAL PULLER 3 ARMED 250X250</t>
  </si>
  <si>
    <t xml:space="preserve">w11stop Licota 3-jaw 38,100</t>
  </si>
  <si>
    <t xml:space="preserve">DRILL MACHINE CORDLESS ROTARY HAMMER Bosch</t>
  </si>
  <si>
    <t xml:space="preserve">Bosch GBH 180-LI / GBH 18V-26</t>
  </si>
  <si>
    <t xml:space="preserve">ktools 49k solo / 115k kit; w11stop 81,400-130,350</t>
  </si>
  <si>
    <t xml:space="preserve">Rate cost se 3x - customer pakray ga</t>
  </si>
  <si>
    <t xml:space="preserve">MANUAL GREASE GUN 5KG</t>
  </si>
  <si>
    <t xml:space="preserve">Yato / Industrial (bucket type)</t>
  </si>
  <si>
    <t xml:space="preserve">Licota 5kg bucket gun nahi milta</t>
  </si>
  <si>
    <t xml:space="preserve">AIR GREASE GUN 500CC</t>
  </si>
  <si>
    <t xml:space="preserve">toolsmart Licota grease gun 7,760 (air premium)</t>
  </si>
  <si>
    <t xml:space="preserve">HAND GREASE GUN WITH HOSE 500CC</t>
  </si>
  <si>
    <t xml:space="preserve">toolsmart Licota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</si>
  <si>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</si>
  <si>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</si>
  <si>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</si>
  <si>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</si>
  <si>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STEEL MEASURMENT TAPE 50M</t>
  </si>
  <si>
    <t xml:space="preserve">ALIGNING PRY BAR DIA 5/8" X 18" LENGTH</t>
  </si>
  <si>
    <t xml:space="preserve">ADJUSTABLE WRENCH 15"</t>
  </si>
  <si>
    <t xml:space="preserve">toolsmart Licota 10" 5,310; Total 15" 3,700-3,890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</si>
  <si>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</si>
  <si>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</si>
  <si>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</si>
  <si>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</si>
  <si>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Licota lathe centre nahi banata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</si>
  <si>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</si>
  <si>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</si>
  <si>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</si>
  <si>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</si>
  <si>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</si>
  <si>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</si>
  <si>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Yato (HSS-Co)</t>
  </si>
  <si>
    <t xml:space="preserve">HSS DRILL BITS 1/16-1/2" 29 PCS SET</t>
  </si>
  <si>
    <t xml:space="preserve">HSS DRILL BIT 14MM TAPER SHANK</t>
  </si>
  <si>
    <t xml:space="preserve">Dormer / YG-1</t>
  </si>
  <si>
    <t xml:space="preserve">Market; India Dormer ref</t>
  </si>
  <si>
    <t xml:space="preserve">Licota taper shank nahi banata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</si>
  <si>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</si>
  <si>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</si>
  <si>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</si>
  <si>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</si>
  <si>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</si>
  <si>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</si>
  <si>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</si>
  <si>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</si>
  <si>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</si>
  <si>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</si>
  <si>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</si>
  <si>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</si>
  <si>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</si>
  <si>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</si>
  <si>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</si>
  <si>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</si>
  <si>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Insize 1108-300</t>
  </si>
  <si>
    <t xml:space="preserve">amjadhardware 15,800; kamadi 18,100; ktools 19,500</t>
  </si>
  <si>
    <t xml:space="preserve">MANUAL VERNIER CALLIPER 12" (Insize brand)</t>
  </si>
  <si>
    <t xml:space="preserve">Insize 1205-300S</t>
  </si>
  <si>
    <t xml:space="preserve">kamadi 15,800</t>
  </si>
  <si>
    <t xml:space="preserve">Rate cost ka aadha hai</t>
  </si>
  <si>
    <t xml:space="preserve">MANUAL VERNIER CALLIPER 8" (Insize (Bosch))</t>
  </si>
  <si>
    <t xml:space="preserve">Insize 1205-200S</t>
  </si>
  <si>
    <t xml:space="preserve">purchaser.com.pk 7,928</t>
  </si>
  <si>
    <t xml:space="preserve">VERNIER DEPTH GUAGE 250MM GRADUATION 0.02M</t>
  </si>
  <si>
    <t xml:space="preserve">Licota measuring nahi banata</t>
  </si>
  <si>
    <t xml:space="preserve">CORDLESS DRILL DRIVER 150NM Bosch</t>
  </si>
  <si>
    <t xml:space="preserve">Bosch GSR/GSB 18V-150 C</t>
  </si>
  <si>
    <t xml:space="preserve">ktools GSB 18V-150C 199,500 (oos)</t>
  </si>
  <si>
    <t xml:space="preserve">Rate bohat zyada - verify kit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</si>
  <si>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</si>
  <si>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</si>
  <si>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</si>
  <si>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</si>
  <si>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Licota taps PK mein nahi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</si>
  <si>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</si>
  <si>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</si>
  <si>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</si>
  <si>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</si>
  <si>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</si>
  <si>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</si>
  <si>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</si>
  <si>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</si>
  <si>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</si>
  <si>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</si>
  <si>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</si>
  <si>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</si>
  <si>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</si>
  <si>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Harris type / Industrial</t>
  </si>
  <si>
    <t xml:space="preserve">Licota gas equipment nahi banata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</si>
  <si>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</si>
  <si>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</si>
  <si>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</si>
  <si>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</si>
  <si>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</si>
  <si>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</si>
  <si>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</si>
  <si>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</si>
  <si>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</si>
  <si>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</si>
  <si>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</si>
  <si>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Industrial (AC/DC TIG 300A)</t>
  </si>
  <si>
    <t xml:space="preserve">India ref INR 95k-146k; no PK listing</t>
  </si>
  <si>
    <t xml:space="preserve">Model/brand confirm karo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</si>
  <si>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</si>
  <si>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</si>
  <si>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</si>
  <si>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</si>
  <si>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</si>
  <si>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</si>
  <si>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</si>
  <si>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</si>
  <si>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</si>
  <si>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</si>
  <si>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</si>
  <si>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</si>
  <si>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</si>
  <si>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</si>
  <si>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</si>
  <si>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</si>
  <si>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</si>
  <si>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</si>
  <si>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</si>
  <si>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</si>
  <si>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</si>
  <si>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</si>
  <si>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</si>
  <si>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</si>
  <si>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Licota rope nahi banata</t>
  </si>
  <si>
    <t xml:space="preserve">HYDRAULIC HAND TROLLY 3T</t>
  </si>
  <si>
    <t xml:space="preserve">Industrial (VMAX/BAOLI)</t>
  </si>
  <si>
    <t xml:space="preserve">eqmachines 82,000; rafiqbrothers 80,000; OLX 85,000</t>
  </si>
  <si>
    <t xml:space="preserve">HYDRAULIC HAND TROLLY 5T</t>
  </si>
  <si>
    <t xml:space="preserve">Industrial (VMAX)</t>
  </si>
  <si>
    <t xml:space="preserve">rafiqbrothers 200,000-225,000</t>
  </si>
  <si>
    <t xml:space="preserve">FLATE METAL SCRAPPER 50MM</t>
  </si>
  <si>
    <t xml:space="preserve">Generic</t>
  </si>
  <si>
    <t xml:space="preserve">WD 40 330ML (MULTI PURPOSE)</t>
  </si>
  <si>
    <t xml:space="preserve">WD-40</t>
  </si>
  <si>
    <t xml:space="preserve">w11stop 1,100; bloompakistan 1,299-1,420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</si>
  <si>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</si>
  <si>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</si>
  <si>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</si>
  <si>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</si>
  <si>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</si>
  <si>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</si>
  <si>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</si>
  <si>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</si>
  <si>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</si>
  <si>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Licota brush nahi banata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</si>
  <si>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</si>
  <si>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</si>
  <si>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</si>
  <si>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</si>
  <si>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</si>
  <si>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</si>
  <si>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</si>
  <si>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Market (pack)</t>
  </si>
  <si>
    <t xml:space="preserve">Pack size confirm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</si>
  <si>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</si>
  <si>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</si>
  <si>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</si>
  <si>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</si>
  <si>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</si>
  <si>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</si>
  <si>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</si>
  <si>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</si>
  <si>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</si>
  <si>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</si>
  <si>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</si>
  <si>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</si>
  <si>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</si>
  <si>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</si>
  <si>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</si>
  <si>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</si>
  <si>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</si>
  <si>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</si>
  <si>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</si>
  <si>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</si>
  <si>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</si>
  <si>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</si>
  <si>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</si>
  <si>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Insize 3203-25A</t>
  </si>
  <si>
    <t xml:space="preserve">kamadi Insize digital 3109-25A 14,900</t>
  </si>
  <si>
    <t xml:space="preserve">Analog Insize sasta; digital chahiye to 14,900+</t>
  </si>
  <si>
    <t xml:space="preserve">MICROMETER 25 TO 50MM</t>
  </si>
  <si>
    <t xml:space="preserve">Insize 3203-50A</t>
  </si>
  <si>
    <t xml:space="preserve">MICROMETER 50 TO 75MM</t>
  </si>
  <si>
    <t xml:space="preserve">Insize 3203-75A</t>
  </si>
  <si>
    <t xml:space="preserve">MICROMETER 75 TO 100MM</t>
  </si>
  <si>
    <t xml:space="preserve">Insize 3203-100A</t>
  </si>
  <si>
    <t xml:space="preserve">MICROMETER 100 TO 125MM</t>
  </si>
  <si>
    <t xml:space="preserve">Insize 3203-125A</t>
  </si>
  <si>
    <t xml:space="preserve">NEEDLE FILE (5PCS SET)</t>
  </si>
  <si>
    <t xml:space="preserve">END MILL CUTTER SIZE 5MM</t>
  </si>
  <si>
    <t xml:space="preserve">YG-1 / Taiwan HSS-Co</t>
  </si>
  <si>
    <t xml:space="preserve">Licota end mill nahi banata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</si>
  <si>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</si>
  <si>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</si>
  <si>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</si>
  <si>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</si>
  <si>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</si>
  <si>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</si>
  <si>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</si>
  <si>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</si>
  <si>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</si>
  <si>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</si>
  <si>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</si>
  <si>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</si>
  <si>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</si>
  <si>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</si>
  <si>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</si>
  <si>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</si>
  <si>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</si>
  <si>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</si>
  <si>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</si>
  <si>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Licota chuck nahi banata</t>
  </si>
  <si>
    <t xml:space="preserve">BENCH VISE 08"</t>
  </si>
  <si>
    <t xml:space="preserve">Yato YT-65049</t>
  </si>
  <si>
    <t xml:space="preserve">Yato UK GBP250; Total 8" PK 17,999</t>
  </si>
  <si>
    <t xml:space="preserve">Sasta option: Total 8" ~18k</t>
  </si>
  <si>
    <t xml:space="preserve">BENCH VISE 12"</t>
  </si>
  <si>
    <t xml:space="preserve">Yato (heavy)</t>
  </si>
  <si>
    <t xml:space="preserve">Yato range est</t>
  </si>
  <si>
    <t xml:space="preserve">Sasta option: local heavy vise</t>
  </si>
  <si>
    <t xml:space="preserve">HSS TOOL 08X08X200MM</t>
  </si>
  <si>
    <t xml:space="preserve">Taiwan HSS / Dormer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</si>
  <si>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</si>
  <si>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</si>
  <si>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</si>
  <si>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</si>
  <si>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</si>
  <si>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</si>
  <si>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pakwheels 5T bottle jack 4,000-5,999; purchaser 8,390</t>
  </si>
  <si>
    <t xml:space="preserve">HYDRAULIC JACK 5 TON</t>
  </si>
  <si>
    <t xml:space="preserve">Yato YT-17002</t>
  </si>
  <si>
    <t xml:space="preserve">pakwheels 5,499-5,999 (generic); Yato premium</t>
  </si>
  <si>
    <t xml:space="preserve">CORDLESS SMALL ANGLE GRINDER 125MM EQUIVAL</t>
  </si>
  <si>
    <t xml:space="preserve">Bosch GWS 180-LI / GWS 18V-10</t>
  </si>
  <si>
    <t xml:space="preserve">powerhouseexpress 38,340 solo; ktools 40,000 solo</t>
  </si>
  <si>
    <t xml:space="preserve">Kit diya to loss</t>
  </si>
  <si>
    <t xml:space="preserve">WELDING ELCTRODE HOLDER 1000 AMP</t>
  </si>
  <si>
    <t xml:space="preserve">EARTH CLAMP 1000 AMP</t>
  </si>
  <si>
    <t xml:space="preserve">WELDING CABLE 1000 AMPERE</t>
  </si>
  <si>
    <t xml:space="preserve">Industrial (copper)</t>
  </si>
  <si>
    <t xml:space="preserve">Copper rate pe depend</t>
  </si>
  <si>
    <t xml:space="preserve">CABLE LUGS 1000 AMPERE</t>
  </si>
  <si>
    <t xml:space="preserve">FULL BODY HARNESS BELT</t>
  </si>
  <si>
    <t xml:space="preserve">Karam / 3M</t>
  </si>
  <si>
    <t xml:space="preserve">Licota harness nahi banata</t>
  </si>
  <si>
    <t xml:space="preserve">ANGLE GRINDER 9" BOSCH PRO STONE BONDED CU</t>
  </si>
  <si>
    <t xml:space="preserve">Bosch GWS 2200-230 H</t>
  </si>
  <si>
    <t xml:space="preserve">kamadi 43,200; ktools 44,000; w11stop 50,460</t>
  </si>
  <si>
    <t xml:space="preserve">PR check karo: grinder hai ya 9" cutting disc?</t>
  </si>
  <si>
    <t xml:space="preserve">DRILL BIT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</si>
  <si>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</si>
  <si>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</si>
  <si>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</si>
  <si>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</si>
  <si>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</si>
  <si>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</si>
  <si>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</si>
  <si>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</si>
  <si>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</si>
  <si>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</si>
  <si>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</si>
  <si>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</si>
  <si>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</si>
  <si>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</si>
  <si>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</si>
  <si>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</si>
  <si>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</si>
  <si>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</si>
  <si>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</si>
  <si>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</si>
  <si>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</si>
  <si>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</si>
  <si>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</si>
  <si>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</si>
  <si>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</si>
  <si>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</si>
  <si>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w11stop.com - Licota catalogue</t>
  </si>
  <si>
    <t xml:space="preserve">https://w11stop.com/licota</t>
  </si>
  <si>
    <t xml:space="preserve">w11stop.com - Licota ATB-1004F 3-jaw puller</t>
  </si>
  <si>
    <t xml:space="preserve">https://w11stop.com/licota-atb-1004f-gear-puller</t>
  </si>
  <si>
    <t xml:space="preserve">w11stop.com - Licota ATB-1003G 2-jaw puller</t>
  </si>
  <si>
    <t xml:space="preserve">https://w11stop.com/licota-atb-1003g-gear-puller</t>
  </si>
  <si>
    <t xml:space="preserve">w11stop.com - Licota ATB-1017D puller</t>
  </si>
  <si>
    <t xml:space="preserve">https://w11stop.com/licota-atb-1017d-gear-puller</t>
  </si>
  <si>
    <t xml:space="preserve">w11stop.com - WD-40 330ml</t>
  </si>
  <si>
    <t xml:space="preserve">https://w11stop.com/lubricants-and-removal/wd-40-330-ml-lubricant</t>
  </si>
  <si>
    <t xml:space="preserve">w11stop.com - Bosch GWS 2200-230 H</t>
  </si>
  <si>
    <t xml:space="preserve">https://w11stop.com/bosch-gws-2200-230-h-grinder</t>
  </si>
  <si>
    <t xml:space="preserve">w11stop.com - Bosch GBH 180-LI</t>
  </si>
  <si>
    <t xml:space="preserve">https://w11stop.com/bosch-gbh-180-li-rotary-hammer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</si>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</sst>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w11stop.com/licota" TargetMode="External"/><Relationship Id="rId7" Type="http://schemas.openxmlformats.org/officeDocument/2006/relationships/hyperlink" Target="https://w11stop.com/licota-atb-1004f-gear-puller" TargetMode="External"/><Relationship Id="rId8" Type="http://schemas.openxmlformats.org/officeDocument/2006/relationships/hyperlink" Target="https://w11stop.com/licota-atb-1003g-gear-puller" TargetMode="External"/><Relationship Id="rId9" Type="http://schemas.openxmlformats.org/officeDocument/2006/relationships/hyperlink" Target="https://w11stop.com/licota-atb-1017d-gear-puller" TargetMode="External"/><Relationship Id="rId10" Type="http://schemas.openxmlformats.org/officeDocument/2006/relationships/hyperlink" Target="https://w11stop.com/lubricants-and-removal/wd-40-330-ml-lubricant" TargetMode="External"/><Relationship Id="rId11" Type="http://schemas.openxmlformats.org/officeDocument/2006/relationships/hyperlink" Target="https://w11stop.com/bosch-gws-2200-230-h-grinder" TargetMode="External"/><Relationship Id="rId12" Type="http://schemas.openxmlformats.org/officeDocument/2006/relationships/hyperlink" Target="https://w11stop.com/bosch-gbh-180-li-rotary-hammer" TargetMode="External"/><Relationship Id="rId13" Type="http://schemas.openxmlformats.org/officeDocument/2006/relationships/hyperlink" Target="https://kamadi.pk/products/gds-18v-1000-bosch-cordless-impact-wrench-650n-m-18v" TargetMode="External"/><Relationship Id="rId14" Type="http://schemas.openxmlformats.org/officeDocument/2006/relationships/hyperlink" Target="https://kamadi.pk/products/gdx-180-li-bosch-cordless-impact-driver-wrench-180n-m-18v" TargetMode="External"/><Relationship Id="rId15" Type="http://schemas.openxmlformats.org/officeDocument/2006/relationships/hyperlink" Target="https://kamadi.pk/products/bosch-gws-2200-230-h-angle-grinder" TargetMode="External"/><Relationship Id="rId16" Type="http://schemas.openxmlformats.org/officeDocument/2006/relationships/hyperlink" Target="https://kamadi.pk/products/insize-1205-300s-vernier-caliper-0-300mm" TargetMode="External"/><Relationship Id="rId17" Type="http://schemas.openxmlformats.org/officeDocument/2006/relationships/hyperlink" Target="https://kamadi.pk/products/1108-300-insize-digital-4-way-vernier-caliper-0-300mm" TargetMode="External"/><Relationship Id="rId18" Type="http://schemas.openxmlformats.org/officeDocument/2006/relationships/hyperlink" Target="https://kamadi.pk/products/insize-3109-25a-digital-outside-micrometer-0-25mm" TargetMode="External"/><Relationship Id="rId19" Type="http://schemas.openxmlformats.org/officeDocument/2006/relationships/hyperlink" Target="https://www.ktools.pk/products/bosch-gds-18v-1000-cordless-impact-wrench" TargetMode="External"/><Relationship Id="rId20" Type="http://schemas.openxmlformats.org/officeDocument/2006/relationships/hyperlink" Target="https://www.ktools.pk/products/bosch-cordless-impact-wrench-gdx-180-li" TargetMode="External"/><Relationship Id="rId21" Type="http://schemas.openxmlformats.org/officeDocument/2006/relationships/hyperlink" Target="https://www.ktools.pk/products/bosch-cordless-rotary-hammer-with-sds-plus-gbh-180-li" TargetMode="External"/><Relationship Id="rId22" Type="http://schemas.openxmlformats.org/officeDocument/2006/relationships/hyperlink" Target="https://www.ktools.pk/products/bosch-cordless-impact-drill-combi-gsb-18v-150-c" TargetMode="External"/><Relationship Id="rId23" Type="http://schemas.openxmlformats.org/officeDocument/2006/relationships/hyperlink" Target="https://www.ktools.pk/products/bosch-gws-2200-230h-angle-grinder-230mm-2200w" TargetMode="External"/><Relationship Id="rId24" Type="http://schemas.openxmlformats.org/officeDocument/2006/relationships/hyperlink" Target="https://amjadhardware.com/product/1108-300-digital-vernier-caliper-0-300mm-0-12-insize/" TargetMode="External"/><Relationship Id="rId25" Type="http://schemas.openxmlformats.org/officeDocument/2006/relationships/hyperlink" Target="https://purchaser.com.pk/insize-4-way-vernier-caliper-1205-200s-en/" TargetMode="External"/><Relationship Id="rId26" Type="http://schemas.openxmlformats.org/officeDocument/2006/relationships/hyperlink" Target="https://powerhouseexpress.com.pk/collections/grinders" TargetMode="External"/><Relationship Id="rId27" Type="http://schemas.openxmlformats.org/officeDocument/2006/relationships/hyperlink" Target="https://www.rafiqbrothers.com/en/category/hand-pallet-trucks/" TargetMode="External"/><Relationship Id="rId28" Type="http://schemas.openxmlformats.org/officeDocument/2006/relationships/hyperlink" Target="https://eqmachines.com/products/hand-pallet-truck-pakistan" TargetMode="External"/><Relationship Id="rId29" Type="http://schemas.openxmlformats.org/officeDocument/2006/relationships/hyperlink" Target="https://www.pakwheels.com/accessories-spare-parts/car-jack/213239" TargetMode="External"/><Relationship Id="rId30" Type="http://schemas.openxmlformats.org/officeDocument/2006/relationships/hyperlink" Target="https://ingcotool.pk/product/total-swivel-base-bench-vise-with-anvil-6-150mm-tht6166/" TargetMode="External"/><Relationship Id="rId31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E3" s="4" t="n">
        <v>0.15</v>
      </c>
      <c r="F3" s="2" t="s">
        <v>3</v>
      </c>
    </row>
    <row r="5" customFormat="false" ht="31.5" hidden="false" customHeight="tru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  <c r="J5" s="5" t="s">
        <v>13</v>
      </c>
      <c r="K5" s="5" t="s">
        <v>14</v>
      </c>
      <c r="L5" s="5" t="s">
        <v>15</v>
      </c>
      <c r="M5" s="5" t="s">
        <v>16</v>
      </c>
      <c r="N5" s="5" t="s">
        <v>17</v>
      </c>
      <c r="O5" s="5" t="s">
        <v>18</v>
      </c>
      <c r="P5" s="5" t="s">
        <v>19</v>
      </c>
      <c r="Q5" s="5" t="s">
        <v>20</v>
      </c>
      <c r="R5" s="5" t="s">
        <v>21</v>
      </c>
    </row>
    <row r="6" customFormat="false" ht="15" hidden="false" customHeight="false" outlineLevel="0" collapsed="false">
      <c r="A6" s="6" t="n">
        <v>1</v>
      </c>
      <c r="B6" s="7" t="s">
        <v>22</v>
      </c>
      <c r="C6" s="6" t="s">
        <v>23</v>
      </c>
      <c r="D6" s="6" t="n">
        <v>30</v>
      </c>
      <c r="E6" s="8" t="n">
        <v>325</v>
      </c>
      <c r="F6" s="7" t="s">
        <v>24</v>
      </c>
      <c r="G6" s="9" t="n">
        <v>130</v>
      </c>
      <c r="H6" s="9" t="n">
        <v>220</v>
      </c>
      <c r="I6" s="10" t="n">
        <f aca="false">IF(E6=0,0,(E6-H6)/E6)</f>
        <v>0.323076923076923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6600</v>
      </c>
      <c r="O6" s="6" t="str">
        <f aca="false">IF(ISNUMBER(SEARCH(C6,F6)),"","YES")</f>
        <v/>
      </c>
      <c r="P6" s="6" t="s">
        <v>25</v>
      </c>
      <c r="Q6" s="7" t="s">
        <v>26</v>
      </c>
      <c r="R6" s="7"/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25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28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25</v>
      </c>
      <c r="Q8" s="7" t="s">
        <v>34</v>
      </c>
      <c r="R8" s="7" t="s">
        <v>35</v>
      </c>
    </row>
    <row r="9" customFormat="false" ht="15" hidden="false" customHeight="false" outlineLevel="0" collapsed="false">
      <c r="A9" s="6" t="n">
        <v>4</v>
      </c>
      <c r="B9" s="7" t="s">
        <v>36</v>
      </c>
      <c r="C9" s="6" t="s">
        <v>28</v>
      </c>
      <c r="D9" s="6" t="n">
        <v>50</v>
      </c>
      <c r="E9" s="8" t="n">
        <v>715</v>
      </c>
      <c r="F9" s="7" t="s">
        <v>37</v>
      </c>
      <c r="G9" s="9" t="n">
        <v>350</v>
      </c>
      <c r="H9" s="9" t="n">
        <v>500</v>
      </c>
      <c r="I9" s="10" t="n">
        <f aca="false">IF(E9=0,0,(E9-H9)/E9)</f>
        <v>0.300699300699301</v>
      </c>
      <c r="J9" s="6" t="str">
        <f aca="false">IF(E9&lt;G9,"LOSS",IF(E9&lt;H9*1.1,"THIN / RISK",IF(E9&gt;H9*1.8,"OVERPRICED?","OK")))</f>
        <v>OK</v>
      </c>
      <c r="K9" s="8" t="n">
        <f aca="false">IF(J9="OVERPRICED?",ROUND(H9*1.35,-1),MAX(E9,ROUND(H9*(1+$E$3),-1)))</f>
        <v>715</v>
      </c>
      <c r="L9" s="8" t="n">
        <f aca="false">D9*E9</f>
        <v>35750</v>
      </c>
      <c r="M9" s="8" t="n">
        <f aca="false">D9*K9</f>
        <v>35750</v>
      </c>
      <c r="N9" s="8" t="n">
        <f aca="false">D9*H9</f>
        <v>25000</v>
      </c>
      <c r="O9" s="6" t="str">
        <f aca="false">IF(ISNUMBER(SEARCH(C9,F9)),"","YES")</f>
        <v>YES</v>
      </c>
      <c r="P9" s="6" t="s">
        <v>25</v>
      </c>
      <c r="Q9" s="7" t="s">
        <v>38</v>
      </c>
      <c r="R9" s="7"/>
    </row>
    <row r="10" customFormat="false" ht="15" hidden="false" customHeight="false" outlineLevel="0" collapsed="false">
      <c r="A10" s="6" t="n">
        <v>5</v>
      </c>
      <c r="B10" s="7" t="s">
        <v>39</v>
      </c>
      <c r="C10" s="6" t="s">
        <v>28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25</v>
      </c>
      <c r="Q10" s="7" t="s">
        <v>34</v>
      </c>
      <c r="R10" s="7"/>
    </row>
    <row r="11" customFormat="false" ht="15" hidden="false" customHeight="false" outlineLevel="0" collapsed="false">
      <c r="A11" s="6" t="n">
        <v>6</v>
      </c>
      <c r="B11" s="7" t="s">
        <v>40</v>
      </c>
      <c r="C11" s="6" t="s">
        <v>23</v>
      </c>
      <c r="D11" s="6" t="n">
        <v>6</v>
      </c>
      <c r="E11" s="8" t="n">
        <v>1105</v>
      </c>
      <c r="F11" s="7" t="s">
        <v>23</v>
      </c>
      <c r="G11" s="9" t="n">
        <v>600</v>
      </c>
      <c r="H11" s="9" t="n">
        <v>900</v>
      </c>
      <c r="I11" s="10" t="n">
        <f aca="false">IF(E11=0,0,(E11-H11)/E11)</f>
        <v>0.18552036199095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5400</v>
      </c>
      <c r="O11" s="6" t="str">
        <f aca="false">IF(ISNUMBER(SEARCH(C11,F11)),"","YES")</f>
        <v/>
      </c>
      <c r="P11" s="6" t="s">
        <v>25</v>
      </c>
      <c r="Q11" s="7" t="s">
        <v>41</v>
      </c>
      <c r="R11" s="7"/>
    </row>
    <row r="12" customFormat="false" ht="15" hidden="false" customHeight="false" outlineLevel="0" collapsed="false">
      <c r="A12" s="6" t="n">
        <v>7</v>
      </c>
      <c r="B12" s="7" t="s">
        <v>42</v>
      </c>
      <c r="C12" s="6" t="s">
        <v>23</v>
      </c>
      <c r="D12" s="6" t="n">
        <v>24</v>
      </c>
      <c r="E12" s="8" t="n">
        <v>507</v>
      </c>
      <c r="F12" s="7" t="s">
        <v>23</v>
      </c>
      <c r="G12" s="9" t="n">
        <v>250</v>
      </c>
      <c r="H12" s="9" t="n">
        <v>400</v>
      </c>
      <c r="I12" s="10" t="n">
        <f aca="false">IF(E12=0,0,(E12-H12)/E12)</f>
        <v>0.211045364891519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9600</v>
      </c>
      <c r="O12" s="6" t="str">
        <f aca="false">IF(ISNUMBER(SEARCH(C12,F12)),"","YES")</f>
        <v/>
      </c>
      <c r="P12" s="6" t="s">
        <v>25</v>
      </c>
      <c r="Q12" s="7" t="s">
        <v>41</v>
      </c>
      <c r="R12" s="7"/>
    </row>
    <row r="13" customFormat="false" ht="22.35" hidden="false" customHeight="false" outlineLevel="0" collapsed="false">
      <c r="A13" s="6" t="n">
        <v>8</v>
      </c>
      <c r="B13" s="7" t="s">
        <v>43</v>
      </c>
      <c r="C13" s="6" t="s">
        <v>28</v>
      </c>
      <c r="D13" s="6" t="n">
        <v>3</v>
      </c>
      <c r="E13" s="8" t="n">
        <v>161070</v>
      </c>
      <c r="F13" s="7" t="s">
        <v>44</v>
      </c>
      <c r="G13" s="9" t="n">
        <v>150000</v>
      </c>
      <c r="H13" s="9" t="n">
        <v>210000</v>
      </c>
      <c r="I13" s="10" t="n">
        <f aca="false">IF(E13=0,0,(E13-H13)/E13)</f>
        <v>-0.303780964797914</v>
      </c>
      <c r="J13" s="6" t="str">
        <f aca="false">IF(E13&lt;G13,"LOSS",IF(E13&lt;H13*1.1,"THIN / RISK",IF(E13&gt;H13*1.8,"OVERPRICED?","OK")))</f>
        <v>THIN / RISK</v>
      </c>
      <c r="K13" s="8" t="n">
        <f aca="false">IF(J13="OVERPRICED?",ROUND(H13*1.35,-1),MAX(E13,ROUND(H13*(1+$E$3),-1)))</f>
        <v>241500</v>
      </c>
      <c r="L13" s="8" t="n">
        <f aca="false">D13*E13</f>
        <v>483210</v>
      </c>
      <c r="M13" s="8" t="n">
        <f aca="false">D13*K13</f>
        <v>724500</v>
      </c>
      <c r="N13" s="8" t="n">
        <f aca="false">D13*H13</f>
        <v>630000</v>
      </c>
      <c r="O13" s="6" t="str">
        <f aca="false">IF(ISNUMBER(SEARCH(C13,F13)),"","YES")</f>
        <v/>
      </c>
      <c r="P13" s="6" t="s">
        <v>45</v>
      </c>
      <c r="Q13" s="7" t="s">
        <v>46</v>
      </c>
      <c r="R13" s="7" t="s">
        <v>47</v>
      </c>
    </row>
    <row r="14" customFormat="false" ht="22.35" hidden="false" customHeight="false" outlineLevel="0" collapsed="false">
      <c r="A14" s="6" t="n">
        <v>9</v>
      </c>
      <c r="B14" s="7" t="s">
        <v>48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20000</v>
      </c>
      <c r="H14" s="9" t="n">
        <v>26000</v>
      </c>
      <c r="I14" s="10" t="n">
        <f aca="false">IF(E14=0,0,(E14-H14)/E14)</f>
        <v>-0.428571428571429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29900</v>
      </c>
      <c r="L14" s="8" t="n">
        <f aca="false">D14*E14</f>
        <v>72800</v>
      </c>
      <c r="M14" s="8" t="n">
        <f aca="false">D14*K14</f>
        <v>119600</v>
      </c>
      <c r="N14" s="8" t="n">
        <f aca="false">D14*H14</f>
        <v>104000</v>
      </c>
      <c r="O14" s="6" t="str">
        <f aca="false">IF(ISNUMBER(SEARCH(C14,F14)),"","YES")</f>
        <v/>
      </c>
      <c r="P14" s="6" t="s">
        <v>45</v>
      </c>
      <c r="Q14" s="7" t="s">
        <v>49</v>
      </c>
      <c r="R14" s="7"/>
    </row>
    <row r="15" customFormat="false" ht="22.35" hidden="false" customHeight="false" outlineLevel="0" collapsed="false">
      <c r="A15" s="6" t="n">
        <v>10</v>
      </c>
      <c r="B15" s="7" t="s">
        <v>50</v>
      </c>
      <c r="C15" s="6" t="s">
        <v>28</v>
      </c>
      <c r="D15" s="6" t="n">
        <v>4</v>
      </c>
      <c r="E15" s="8" t="n">
        <v>15600</v>
      </c>
      <c r="F15" s="7" t="s">
        <v>28</v>
      </c>
      <c r="G15" s="9" t="n">
        <v>16000</v>
      </c>
      <c r="H15" s="9" t="n">
        <v>21000</v>
      </c>
      <c r="I15" s="10" t="n">
        <f aca="false">IF(E15=0,0,(E15-H15)/E15)</f>
        <v>-0.346153846153846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24150</v>
      </c>
      <c r="L15" s="8" t="n">
        <f aca="false">D15*E15</f>
        <v>62400</v>
      </c>
      <c r="M15" s="8" t="n">
        <f aca="false">D15*K15</f>
        <v>96600</v>
      </c>
      <c r="N15" s="8" t="n">
        <f aca="false">D15*H15</f>
        <v>84000</v>
      </c>
      <c r="O15" s="6" t="str">
        <f aca="false">IF(ISNUMBER(SEARCH(C15,F15)),"","YES")</f>
        <v/>
      </c>
      <c r="P15" s="6" t="s">
        <v>45</v>
      </c>
      <c r="Q15" s="7" t="s">
        <v>51</v>
      </c>
      <c r="R15" s="7"/>
    </row>
    <row r="16" customFormat="false" ht="15" hidden="false" customHeight="false" outlineLevel="0" collapsed="false">
      <c r="A16" s="6" t="n">
        <v>11</v>
      </c>
      <c r="B16" s="7" t="s">
        <v>52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4500</v>
      </c>
      <c r="H16" s="9" t="n">
        <v>5800</v>
      </c>
      <c r="I16" s="10" t="n">
        <f aca="false">IF(E16=0,0,(E16-H16)/E16)</f>
        <v>-0.593406593406593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6670</v>
      </c>
      <c r="L16" s="8" t="n">
        <f aca="false">D16*E16</f>
        <v>10920</v>
      </c>
      <c r="M16" s="8" t="n">
        <f aca="false">D16*K16</f>
        <v>20010</v>
      </c>
      <c r="N16" s="8" t="n">
        <f aca="false">D16*H16</f>
        <v>17400</v>
      </c>
      <c r="O16" s="6" t="str">
        <f aca="false">IF(ISNUMBER(SEARCH(C16,F16)),"","YES")</f>
        <v/>
      </c>
      <c r="P16" s="6" t="s">
        <v>25</v>
      </c>
      <c r="Q16" s="7" t="s">
        <v>53</v>
      </c>
      <c r="R16" s="7"/>
    </row>
    <row r="17" customFormat="false" ht="15" hidden="false" customHeight="false" outlineLevel="0" collapsed="false">
      <c r="A17" s="6" t="n">
        <v>12</v>
      </c>
      <c r="B17" s="7" t="s">
        <v>54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6000</v>
      </c>
      <c r="H17" s="9" t="n">
        <v>7500</v>
      </c>
      <c r="I17" s="10" t="n">
        <f aca="false">IF(E17=0,0,(E17-H17)/E17)</f>
        <v>-0.648351648351648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8630</v>
      </c>
      <c r="L17" s="8" t="n">
        <f aca="false">D17*E17</f>
        <v>13650</v>
      </c>
      <c r="M17" s="8" t="n">
        <f aca="false">D17*K17</f>
        <v>25890</v>
      </c>
      <c r="N17" s="8" t="n">
        <f aca="false">D17*H17</f>
        <v>22500</v>
      </c>
      <c r="O17" s="6" t="str">
        <f aca="false">IF(ISNUMBER(SEARCH(C17,F17)),"","YES")</f>
        <v/>
      </c>
      <c r="P17" s="6" t="s">
        <v>25</v>
      </c>
      <c r="Q17" s="7" t="s">
        <v>55</v>
      </c>
      <c r="R17" s="7"/>
    </row>
    <row r="18" customFormat="false" ht="15" hidden="false" customHeight="false" outlineLevel="0" collapsed="false">
      <c r="A18" s="6" t="n">
        <v>13</v>
      </c>
      <c r="B18" s="7" t="s">
        <v>56</v>
      </c>
      <c r="C18" s="6" t="s">
        <v>28</v>
      </c>
      <c r="D18" s="6" t="n">
        <v>4</v>
      </c>
      <c r="E18" s="8" t="n">
        <v>22100</v>
      </c>
      <c r="F18" s="7" t="s">
        <v>28</v>
      </c>
      <c r="G18" s="9" t="n">
        <v>24000</v>
      </c>
      <c r="H18" s="9" t="n">
        <v>30000</v>
      </c>
      <c r="I18" s="10" t="n">
        <f aca="false">IF(E18=0,0,(E18-H18)/E18)</f>
        <v>-0.357466063348416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34500</v>
      </c>
      <c r="L18" s="8" t="n">
        <f aca="false">D18*E18</f>
        <v>88400</v>
      </c>
      <c r="M18" s="8" t="n">
        <f aca="false">D18*K18</f>
        <v>138000</v>
      </c>
      <c r="N18" s="8" t="n">
        <f aca="false">D18*H18</f>
        <v>120000</v>
      </c>
      <c r="O18" s="6" t="str">
        <f aca="false">IF(ISNUMBER(SEARCH(C18,F18)),"","YES")</f>
        <v/>
      </c>
      <c r="P18" s="6" t="s">
        <v>57</v>
      </c>
      <c r="Q18" s="7" t="s">
        <v>58</v>
      </c>
      <c r="R18" s="7"/>
    </row>
    <row r="19" customFormat="false" ht="15" hidden="false" customHeight="false" outlineLevel="0" collapsed="false">
      <c r="A19" s="6" t="n">
        <v>14</v>
      </c>
      <c r="B19" s="7" t="s">
        <v>59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56900</v>
      </c>
      <c r="H19" s="9" t="n">
        <v>67200</v>
      </c>
      <c r="I19" s="10" t="n">
        <f aca="false">IF(E19=0,0,(E19-H19)/E19)</f>
        <v>0.108753315649867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77280</v>
      </c>
      <c r="L19" s="8" t="n">
        <f aca="false">D19*E19</f>
        <v>301600</v>
      </c>
      <c r="M19" s="8" t="n">
        <f aca="false">D19*K19</f>
        <v>309120</v>
      </c>
      <c r="N19" s="8" t="n">
        <f aca="false">D19*H19</f>
        <v>268800</v>
      </c>
      <c r="O19" s="6" t="str">
        <f aca="false">IF(ISNUMBER(SEARCH(C19,F19)),"","YES")</f>
        <v/>
      </c>
      <c r="P19" s="6" t="s">
        <v>57</v>
      </c>
      <c r="Q19" s="7" t="s">
        <v>60</v>
      </c>
      <c r="R19" s="7"/>
    </row>
    <row r="20" customFormat="false" ht="15" hidden="false" customHeight="false" outlineLevel="0" collapsed="false">
      <c r="A20" s="6" t="n">
        <v>15</v>
      </c>
      <c r="B20" s="7" t="s">
        <v>61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6200</v>
      </c>
      <c r="I20" s="10" t="n">
        <f aca="false">IF(E20=0,0,(E20-H20)/E20)</f>
        <v>-0.0598290598290598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7130</v>
      </c>
      <c r="L20" s="8" t="n">
        <f aca="false">D20*E20</f>
        <v>23400</v>
      </c>
      <c r="M20" s="8" t="n">
        <f aca="false">D20*K20</f>
        <v>28520</v>
      </c>
      <c r="N20" s="8" t="n">
        <f aca="false">D20*H20</f>
        <v>24800</v>
      </c>
      <c r="O20" s="6" t="str">
        <f aca="false">IF(ISNUMBER(SEARCH(C20,F20)),"","YES")</f>
        <v/>
      </c>
      <c r="P20" s="6" t="s">
        <v>57</v>
      </c>
      <c r="Q20" s="7" t="s">
        <v>62</v>
      </c>
      <c r="R20" s="7"/>
    </row>
    <row r="21" customFormat="false" ht="15" hidden="false" customHeight="false" outlineLevel="0" collapsed="false">
      <c r="A21" s="6" t="n">
        <v>16</v>
      </c>
      <c r="B21" s="7" t="s">
        <v>63</v>
      </c>
      <c r="C21" s="6" t="s">
        <v>28</v>
      </c>
      <c r="D21" s="6" t="n">
        <v>4</v>
      </c>
      <c r="E21" s="8" t="n">
        <v>8450</v>
      </c>
      <c r="F21" s="7" t="s">
        <v>37</v>
      </c>
      <c r="G21" s="9" t="n">
        <v>6500</v>
      </c>
      <c r="H21" s="9" t="n">
        <v>9000</v>
      </c>
      <c r="I21" s="10" t="n">
        <f aca="false">IF(E21=0,0,(E21-H21)/E21)</f>
        <v>-0.0650887573964497</v>
      </c>
      <c r="J21" s="6" t="str">
        <f aca="false">IF(E21&lt;G21,"LOSS",IF(E21&lt;H21*1.1,"THIN / RISK",IF(E21&gt;H21*1.8,"OVERPRICED?","OK")))</f>
        <v>THIN / RISK</v>
      </c>
      <c r="K21" s="8" t="n">
        <f aca="false">IF(J21="OVERPRICED?",ROUND(H21*1.35,-1),MAX(E21,ROUND(H21*(1+$E$3),-1)))</f>
        <v>10350</v>
      </c>
      <c r="L21" s="8" t="n">
        <f aca="false">D21*E21</f>
        <v>33800</v>
      </c>
      <c r="M21" s="8" t="n">
        <f aca="false">D21*K21</f>
        <v>41400</v>
      </c>
      <c r="N21" s="8" t="n">
        <f aca="false">D21*H21</f>
        <v>36000</v>
      </c>
      <c r="O21" s="6" t="str">
        <f aca="false">IF(ISNUMBER(SEARCH(C21,F21)),"","YES")</f>
        <v>YES</v>
      </c>
      <c r="P21" s="6" t="s">
        <v>45</v>
      </c>
      <c r="Q21" s="7" t="s">
        <v>64</v>
      </c>
      <c r="R21" s="7" t="s">
        <v>65</v>
      </c>
    </row>
    <row r="22" customFormat="false" ht="15" hidden="false" customHeight="false" outlineLevel="0" collapsed="false">
      <c r="A22" s="6" t="n">
        <v>17</v>
      </c>
      <c r="B22" s="7" t="s">
        <v>66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2320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THIN / RISK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57</v>
      </c>
      <c r="Q22" s="7" t="s">
        <v>67</v>
      </c>
      <c r="R22" s="7"/>
    </row>
    <row r="23" customFormat="false" ht="15" hidden="false" customHeight="false" outlineLevel="0" collapsed="false">
      <c r="A23" s="6" t="n">
        <v>18</v>
      </c>
      <c r="B23" s="7" t="s">
        <v>68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2000</v>
      </c>
      <c r="H23" s="9" t="n">
        <v>3000</v>
      </c>
      <c r="I23" s="10" t="n">
        <f aca="false">IF(E23=0,0,(E23-H23)/E23)</f>
        <v>-0.625135427952329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3450</v>
      </c>
      <c r="L23" s="8" t="n">
        <f aca="false">D23*E23</f>
        <v>7384</v>
      </c>
      <c r="M23" s="8" t="n">
        <f aca="false">D23*K23</f>
        <v>13800</v>
      </c>
      <c r="N23" s="8" t="n">
        <f aca="false">D23*H23</f>
        <v>12000</v>
      </c>
      <c r="O23" s="6" t="str">
        <f aca="false">IF(ISNUMBER(SEARCH(C23,F23)),"","YES")</f>
        <v/>
      </c>
      <c r="P23" s="6" t="s">
        <v>45</v>
      </c>
      <c r="Q23" s="7" t="s">
        <v>69</v>
      </c>
      <c r="R23" s="7"/>
    </row>
    <row r="24" customFormat="false" ht="15" hidden="false" customHeight="false" outlineLevel="0" collapsed="false">
      <c r="A24" s="6" t="n">
        <v>19</v>
      </c>
      <c r="B24" s="7" t="s">
        <v>70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2320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THIN / RISK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57</v>
      </c>
      <c r="Q24" s="7" t="s">
        <v>67</v>
      </c>
      <c r="R24" s="7" t="s">
        <v>71</v>
      </c>
    </row>
    <row r="25" customFormat="false" ht="15" hidden="false" customHeight="false" outlineLevel="0" collapsed="false">
      <c r="A25" s="6" t="n">
        <v>20</v>
      </c>
      <c r="B25" s="7" t="s">
        <v>72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1100</v>
      </c>
      <c r="H25" s="9" t="n">
        <v>1500</v>
      </c>
      <c r="I25" s="10" t="n">
        <f aca="false">IF(E25=0,0,(E25-H25)/E25)</f>
        <v>-0.648351648351648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1730</v>
      </c>
      <c r="L25" s="8" t="n">
        <f aca="false">D25*E25</f>
        <v>2730</v>
      </c>
      <c r="M25" s="8" t="n">
        <f aca="false">D25*K25</f>
        <v>5190</v>
      </c>
      <c r="N25" s="8" t="n">
        <f aca="false">D25*H25</f>
        <v>4500</v>
      </c>
      <c r="O25" s="6" t="str">
        <f aca="false">IF(ISNUMBER(SEARCH(C25,F25)),"","YES")</f>
        <v/>
      </c>
      <c r="P25" s="6" t="s">
        <v>25</v>
      </c>
      <c r="Q25" s="7" t="s">
        <v>73</v>
      </c>
      <c r="R25" s="7"/>
    </row>
    <row r="26" customFormat="false" ht="15" hidden="false" customHeight="false" outlineLevel="0" collapsed="false">
      <c r="A26" s="6" t="n">
        <v>21</v>
      </c>
      <c r="B26" s="7" t="s">
        <v>74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1400</v>
      </c>
      <c r="H26" s="9" t="n">
        <v>1900</v>
      </c>
      <c r="I26" s="10" t="n">
        <f aca="false">IF(E26=0,0,(E26-H26)/E26)</f>
        <v>-0.623931623931624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2190</v>
      </c>
      <c r="L26" s="8" t="n">
        <f aca="false">D26*E26</f>
        <v>3510</v>
      </c>
      <c r="M26" s="8" t="n">
        <f aca="false">D26*K26</f>
        <v>6570</v>
      </c>
      <c r="N26" s="8" t="n">
        <f aca="false">D26*H26</f>
        <v>5700</v>
      </c>
      <c r="O26" s="6" t="str">
        <f aca="false">IF(ISNUMBER(SEARCH(C26,F26)),"","YES")</f>
        <v/>
      </c>
      <c r="P26" s="6" t="s">
        <v>25</v>
      </c>
      <c r="Q26" s="7" t="s">
        <v>75</v>
      </c>
      <c r="R26" s="7"/>
    </row>
    <row r="27" customFormat="false" ht="15" hidden="false" customHeight="false" outlineLevel="0" collapsed="false">
      <c r="A27" s="6" t="n">
        <v>22</v>
      </c>
      <c r="B27" s="7" t="s">
        <v>76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1800</v>
      </c>
      <c r="H27" s="9" t="n">
        <v>2400</v>
      </c>
      <c r="I27" s="10" t="n">
        <f aca="false">IF(E27=0,0,(E27-H27)/E27)</f>
        <v>-0.678321678321678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2760</v>
      </c>
      <c r="L27" s="8" t="n">
        <f aca="false">D27*E27</f>
        <v>4290</v>
      </c>
      <c r="M27" s="8" t="n">
        <f aca="false">D27*K27</f>
        <v>8280</v>
      </c>
      <c r="N27" s="8" t="n">
        <f aca="false">D27*H27</f>
        <v>7200</v>
      </c>
      <c r="O27" s="6" t="str">
        <f aca="false">IF(ISNUMBER(SEARCH(C27,F27)),"","YES")</f>
        <v/>
      </c>
      <c r="P27" s="6" t="s">
        <v>25</v>
      </c>
      <c r="Q27" s="7" t="s">
        <v>75</v>
      </c>
      <c r="R27" s="7"/>
    </row>
    <row r="28" customFormat="false" ht="15" hidden="false" customHeight="false" outlineLevel="0" collapsed="false">
      <c r="A28" s="6" t="n">
        <v>23</v>
      </c>
      <c r="B28" s="7" t="s">
        <v>77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4500</v>
      </c>
      <c r="H28" s="9" t="n">
        <v>5500</v>
      </c>
      <c r="I28" s="10" t="n">
        <f aca="false">IF(E28=0,0,(E28-H28)/E28)</f>
        <v>-0.11336032388664</v>
      </c>
      <c r="J28" s="6" t="str">
        <f aca="false">IF(E28&lt;G28,"LOSS",IF(E28&lt;H28*1.1,"THIN / RISK",IF(E28&gt;H28*1.8,"OVERPRICED?","OK")))</f>
        <v>THIN / RISK</v>
      </c>
      <c r="K28" s="8" t="n">
        <f aca="false">IF(J28="OVERPRICED?",ROUND(H28*1.35,-1),MAX(E28,ROUND(H28*(1+$E$3),-1)))</f>
        <v>6330</v>
      </c>
      <c r="L28" s="8" t="n">
        <f aca="false">D28*E28</f>
        <v>19760</v>
      </c>
      <c r="M28" s="8" t="n">
        <f aca="false">D28*K28</f>
        <v>25320</v>
      </c>
      <c r="N28" s="8" t="n">
        <f aca="false">D28*H28</f>
        <v>22000</v>
      </c>
      <c r="O28" s="6" t="str">
        <f aca="false">IF(ISNUMBER(SEARCH(C28,F28)),"","YES")</f>
        <v/>
      </c>
      <c r="P28" s="6" t="s">
        <v>45</v>
      </c>
      <c r="Q28" s="7" t="s">
        <v>78</v>
      </c>
      <c r="R28" s="7"/>
    </row>
    <row r="29" customFormat="false" ht="15" hidden="false" customHeight="false" outlineLevel="0" collapsed="false">
      <c r="A29" s="6" t="n">
        <v>24</v>
      </c>
      <c r="B29" s="7" t="s">
        <v>79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4500</v>
      </c>
      <c r="H29" s="9" t="n">
        <v>5500</v>
      </c>
      <c r="I29" s="10" t="n">
        <f aca="false">IF(E29=0,0,(E29-H29)/E29)</f>
        <v>-0.11336032388664</v>
      </c>
      <c r="J29" s="6" t="str">
        <f aca="false">IF(E29&lt;G29,"LOSS",IF(E29&lt;H29*1.1,"THIN / RISK",IF(E29&gt;H29*1.8,"OVERPRICED?","OK")))</f>
        <v>THIN / RISK</v>
      </c>
      <c r="K29" s="8" t="n">
        <f aca="false">IF(J29="OVERPRICED?",ROUND(H29*1.35,-1),MAX(E29,ROUND(H29*(1+$E$3),-1)))</f>
        <v>6330</v>
      </c>
      <c r="L29" s="8" t="n">
        <f aca="false">D29*E29</f>
        <v>19760</v>
      </c>
      <c r="M29" s="8" t="n">
        <f aca="false">D29*K29</f>
        <v>25320</v>
      </c>
      <c r="N29" s="8" t="n">
        <f aca="false">D29*H29</f>
        <v>22000</v>
      </c>
      <c r="O29" s="6" t="str">
        <f aca="false">IF(ISNUMBER(SEARCH(C29,F29)),"","YES")</f>
        <v/>
      </c>
      <c r="P29" s="6" t="s">
        <v>45</v>
      </c>
      <c r="Q29" s="7" t="s">
        <v>80</v>
      </c>
      <c r="R29" s="7"/>
    </row>
    <row r="30" customFormat="false" ht="15" hidden="false" customHeight="false" outlineLevel="0" collapsed="false">
      <c r="A30" s="6" t="n">
        <v>25</v>
      </c>
      <c r="B30" s="7" t="s">
        <v>81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4500</v>
      </c>
      <c r="H30" s="9" t="n">
        <v>5500</v>
      </c>
      <c r="I30" s="10" t="n">
        <f aca="false">IF(E30=0,0,(E30-H30)/E30)</f>
        <v>-0.11336032388664</v>
      </c>
      <c r="J30" s="6" t="str">
        <f aca="false">IF(E30&lt;G30,"LOSS",IF(E30&lt;H30*1.1,"THIN / RISK",IF(E30&gt;H30*1.8,"OVERPRICED?","OK")))</f>
        <v>THIN / RISK</v>
      </c>
      <c r="K30" s="8" t="n">
        <f aca="false">IF(J30="OVERPRICED?",ROUND(H30*1.35,-1),MAX(E30,ROUND(H30*(1+$E$3),-1)))</f>
        <v>6330</v>
      </c>
      <c r="L30" s="8" t="n">
        <f aca="false">D30*E30</f>
        <v>19760</v>
      </c>
      <c r="M30" s="8" t="n">
        <f aca="false">D30*K30</f>
        <v>25320</v>
      </c>
      <c r="N30" s="8" t="n">
        <f aca="false">D30*H30</f>
        <v>22000</v>
      </c>
      <c r="O30" s="6" t="str">
        <f aca="false">IF(ISNUMBER(SEARCH(C30,F30)),"","YES")</f>
        <v/>
      </c>
      <c r="P30" s="6" t="s">
        <v>45</v>
      </c>
      <c r="Q30" s="7" t="s">
        <v>80</v>
      </c>
      <c r="R30" s="7"/>
    </row>
    <row r="31" customFormat="false" ht="15" hidden="false" customHeight="false" outlineLevel="0" collapsed="false">
      <c r="A31" s="6" t="n">
        <v>26</v>
      </c>
      <c r="B31" s="7" t="s">
        <v>82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4500</v>
      </c>
      <c r="H31" s="9" t="n">
        <v>5500</v>
      </c>
      <c r="I31" s="10" t="n">
        <f aca="false">IF(E31=0,0,(E31-H31)/E31)</f>
        <v>-0.11336032388664</v>
      </c>
      <c r="J31" s="6" t="str">
        <f aca="false">IF(E31&lt;G31,"LOSS",IF(E31&lt;H31*1.1,"THIN / RISK",IF(E31&gt;H31*1.8,"OVERPRICED?","OK")))</f>
        <v>THIN / RISK</v>
      </c>
      <c r="K31" s="8" t="n">
        <f aca="false">IF(J31="OVERPRICED?",ROUND(H31*1.35,-1),MAX(E31,ROUND(H31*(1+$E$3),-1)))</f>
        <v>6330</v>
      </c>
      <c r="L31" s="8" t="n">
        <f aca="false">D31*E31</f>
        <v>19760</v>
      </c>
      <c r="M31" s="8" t="n">
        <f aca="false">D31*K31</f>
        <v>25320</v>
      </c>
      <c r="N31" s="8" t="n">
        <f aca="false">D31*H31</f>
        <v>22000</v>
      </c>
      <c r="O31" s="6" t="str">
        <f aca="false">IF(ISNUMBER(SEARCH(C31,F31)),"","YES")</f>
        <v/>
      </c>
      <c r="P31" s="6" t="s">
        <v>45</v>
      </c>
      <c r="Q31" s="7" t="s">
        <v>80</v>
      </c>
      <c r="R31" s="7"/>
    </row>
    <row r="32" customFormat="false" ht="15" hidden="false" customHeight="false" outlineLevel="0" collapsed="false">
      <c r="A32" s="6" t="n">
        <v>27</v>
      </c>
      <c r="B32" s="7" t="s">
        <v>83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6000</v>
      </c>
      <c r="H32" s="9" t="n">
        <v>7500</v>
      </c>
      <c r="I32" s="10" t="n">
        <f aca="false">IF(E32=0,0,(E32-H32)/E32)</f>
        <v>-0.109467455621302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8630</v>
      </c>
      <c r="L32" s="8" t="n">
        <f aca="false">D32*E32</f>
        <v>27040</v>
      </c>
      <c r="M32" s="8" t="n">
        <f aca="false">D32*K32</f>
        <v>34520</v>
      </c>
      <c r="N32" s="8" t="n">
        <f aca="false">D32*H32</f>
        <v>30000</v>
      </c>
      <c r="O32" s="6" t="str">
        <f aca="false">IF(ISNUMBER(SEARCH(C32,F32)),"","YES")</f>
        <v/>
      </c>
      <c r="P32" s="6" t="s">
        <v>45</v>
      </c>
      <c r="Q32" s="7" t="s">
        <v>84</v>
      </c>
      <c r="R32" s="7"/>
    </row>
    <row r="33" customFormat="false" ht="15" hidden="false" customHeight="false" outlineLevel="0" collapsed="false">
      <c r="A33" s="6" t="n">
        <v>28</v>
      </c>
      <c r="B33" s="7" t="s">
        <v>85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6000</v>
      </c>
      <c r="H33" s="9" t="n">
        <v>7500</v>
      </c>
      <c r="I33" s="10" t="n">
        <f aca="false">IF(E33=0,0,(E33-H33)/E33)</f>
        <v>-0.109467455621302</v>
      </c>
      <c r="J33" s="6" t="str">
        <f aca="false">IF(E33&lt;G33,"LOSS",IF(E33&lt;H33*1.1,"THIN / RISK",IF(E33&gt;H33*1.8,"OVERPRICED?","OK")))</f>
        <v>THIN / RISK</v>
      </c>
      <c r="K33" s="8" t="n">
        <f aca="false">IF(J33="OVERPRICED?",ROUND(H33*1.35,-1),MAX(E33,ROUND(H33*(1+$E$3),-1)))</f>
        <v>8630</v>
      </c>
      <c r="L33" s="8" t="n">
        <f aca="false">D33*E33</f>
        <v>20280</v>
      </c>
      <c r="M33" s="8" t="n">
        <f aca="false">D33*K33</f>
        <v>25890</v>
      </c>
      <c r="N33" s="8" t="n">
        <f aca="false">D33*H33</f>
        <v>22500</v>
      </c>
      <c r="O33" s="6" t="str">
        <f aca="false">IF(ISNUMBER(SEARCH(C33,F33)),"","YES")</f>
        <v/>
      </c>
      <c r="P33" s="6" t="s">
        <v>45</v>
      </c>
      <c r="Q33" s="7" t="s">
        <v>84</v>
      </c>
      <c r="R33" s="7"/>
    </row>
    <row r="34" customFormat="false" ht="15" hidden="false" customHeight="false" outlineLevel="0" collapsed="false">
      <c r="A34" s="6" t="n">
        <v>30</v>
      </c>
      <c r="B34" s="7" t="s">
        <v>86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4000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57</v>
      </c>
      <c r="Q34" s="7" t="s">
        <v>87</v>
      </c>
      <c r="R34" s="7"/>
    </row>
    <row r="35" customFormat="false" ht="15" hidden="false" customHeight="false" outlineLevel="0" collapsed="false">
      <c r="A35" s="6" t="n">
        <v>31</v>
      </c>
      <c r="B35" s="7" t="s">
        <v>88</v>
      </c>
      <c r="C35" s="6" t="s">
        <v>28</v>
      </c>
      <c r="D35" s="6" t="n">
        <v>3</v>
      </c>
      <c r="E35" s="8" t="n">
        <v>2210</v>
      </c>
      <c r="F35" s="7" t="s">
        <v>28</v>
      </c>
      <c r="G35" s="9" t="n">
        <v>4200</v>
      </c>
      <c r="H35" s="9" t="n">
        <v>5200</v>
      </c>
      <c r="I35" s="10" t="n">
        <f aca="false">IF(E35=0,0,(E35-H35)/E35)</f>
        <v>-1.35294117647059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5980</v>
      </c>
      <c r="L35" s="8" t="n">
        <f aca="false">D35*E35</f>
        <v>6630</v>
      </c>
      <c r="M35" s="8" t="n">
        <f aca="false">D35*K35</f>
        <v>17940</v>
      </c>
      <c r="N35" s="8" t="n">
        <f aca="false">D35*H35</f>
        <v>15600</v>
      </c>
      <c r="O35" s="6" t="str">
        <f aca="false">IF(ISNUMBER(SEARCH(C35,F35)),"","YES")</f>
        <v/>
      </c>
      <c r="P35" s="6" t="s">
        <v>45</v>
      </c>
      <c r="Q35" s="7" t="s">
        <v>89</v>
      </c>
      <c r="R35" s="7"/>
    </row>
    <row r="36" customFormat="false" ht="15" hidden="false" customHeight="false" outlineLevel="0" collapsed="false">
      <c r="A36" s="6" t="n">
        <v>32</v>
      </c>
      <c r="B36" s="7" t="s">
        <v>90</v>
      </c>
      <c r="C36" s="6" t="s">
        <v>28</v>
      </c>
      <c r="D36" s="6" t="n">
        <v>3</v>
      </c>
      <c r="E36" s="8" t="n">
        <v>2886</v>
      </c>
      <c r="F36" s="7" t="s">
        <v>28</v>
      </c>
      <c r="G36" s="9" t="n">
        <v>5200</v>
      </c>
      <c r="H36" s="9" t="n">
        <v>6500</v>
      </c>
      <c r="I36" s="10" t="n">
        <f aca="false">IF(E36=0,0,(E36-H36)/E36)</f>
        <v>-1.25225225225225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7480</v>
      </c>
      <c r="L36" s="8" t="n">
        <f aca="false">D36*E36</f>
        <v>8658</v>
      </c>
      <c r="M36" s="8" t="n">
        <f aca="false">D36*K36</f>
        <v>22440</v>
      </c>
      <c r="N36" s="8" t="n">
        <f aca="false">D36*H36</f>
        <v>19500</v>
      </c>
      <c r="O36" s="6" t="str">
        <f aca="false">IF(ISNUMBER(SEARCH(C36,F36)),"","YES")</f>
        <v/>
      </c>
      <c r="P36" s="6" t="s">
        <v>45</v>
      </c>
      <c r="Q36" s="7" t="s">
        <v>89</v>
      </c>
      <c r="R36" s="7"/>
    </row>
    <row r="37" customFormat="false" ht="15" hidden="false" customHeight="false" outlineLevel="0" collapsed="false">
      <c r="A37" s="6" t="n">
        <v>33</v>
      </c>
      <c r="B37" s="7" t="s">
        <v>91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10500</v>
      </c>
      <c r="I37" s="10" t="n">
        <f aca="false">IF(E37=0,0,(E37-H37)/E37)</f>
        <v>-0.779057946458828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12080</v>
      </c>
      <c r="L37" s="8" t="n">
        <f aca="false">D37*E37</f>
        <v>17706</v>
      </c>
      <c r="M37" s="8" t="n">
        <f aca="false">D37*K37</f>
        <v>36240</v>
      </c>
      <c r="N37" s="8" t="n">
        <f aca="false">D37*H37</f>
        <v>31500</v>
      </c>
      <c r="O37" s="6" t="str">
        <f aca="false">IF(ISNUMBER(SEARCH(C37,F37)),"","YES")</f>
        <v/>
      </c>
      <c r="P37" s="6" t="s">
        <v>57</v>
      </c>
      <c r="Q37" s="7" t="s">
        <v>92</v>
      </c>
      <c r="R37" s="7"/>
    </row>
    <row r="38" customFormat="false" ht="15" hidden="false" customHeight="false" outlineLevel="0" collapsed="false">
      <c r="A38" s="6" t="n">
        <v>34</v>
      </c>
      <c r="B38" s="7" t="s">
        <v>93</v>
      </c>
      <c r="C38" s="6" t="s">
        <v>28</v>
      </c>
      <c r="D38" s="6" t="n">
        <v>2</v>
      </c>
      <c r="E38" s="8" t="n">
        <v>6120</v>
      </c>
      <c r="F38" s="7" t="s">
        <v>28</v>
      </c>
      <c r="G38" s="9" t="n">
        <v>13000</v>
      </c>
      <c r="H38" s="9" t="n">
        <v>16000</v>
      </c>
      <c r="I38" s="10" t="n">
        <f aca="false">IF(E38=0,0,(E38-H38)/E38)</f>
        <v>-1.61437908496732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18400</v>
      </c>
      <c r="L38" s="8" t="n">
        <f aca="false">D38*E38</f>
        <v>12240</v>
      </c>
      <c r="M38" s="8" t="n">
        <f aca="false">D38*K38</f>
        <v>36800</v>
      </c>
      <c r="N38" s="8" t="n">
        <f aca="false">D38*H38</f>
        <v>32000</v>
      </c>
      <c r="O38" s="6" t="str">
        <f aca="false">IF(ISNUMBER(SEARCH(C38,F38)),"","YES")</f>
        <v/>
      </c>
      <c r="P38" s="6" t="s">
        <v>45</v>
      </c>
      <c r="Q38" s="7" t="s">
        <v>94</v>
      </c>
      <c r="R38" s="7"/>
    </row>
    <row r="39" customFormat="false" ht="15" hidden="false" customHeight="false" outlineLevel="0" collapsed="false">
      <c r="A39" s="6" t="n">
        <v>35</v>
      </c>
      <c r="B39" s="7" t="s">
        <v>95</v>
      </c>
      <c r="C39" s="6" t="s">
        <v>28</v>
      </c>
      <c r="D39" s="6" t="n">
        <v>2</v>
      </c>
      <c r="E39" s="8" t="n">
        <v>12870</v>
      </c>
      <c r="F39" s="7" t="s">
        <v>28</v>
      </c>
      <c r="G39" s="9" t="n">
        <v>22000</v>
      </c>
      <c r="H39" s="9" t="n">
        <v>28000</v>
      </c>
      <c r="I39" s="10" t="n">
        <f aca="false">IF(E39=0,0,(E39-H39)/E39)</f>
        <v>-1.17560217560218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32200</v>
      </c>
      <c r="L39" s="8" t="n">
        <f aca="false">D39*E39</f>
        <v>25740</v>
      </c>
      <c r="M39" s="8" t="n">
        <f aca="false">D39*K39</f>
        <v>64400</v>
      </c>
      <c r="N39" s="8" t="n">
        <f aca="false">D39*H39</f>
        <v>56000</v>
      </c>
      <c r="O39" s="6" t="str">
        <f aca="false">IF(ISNUMBER(SEARCH(C39,F39)),"","YES")</f>
        <v/>
      </c>
      <c r="P39" s="6" t="s">
        <v>45</v>
      </c>
      <c r="Q39" s="7" t="s">
        <v>96</v>
      </c>
      <c r="R39" s="7"/>
    </row>
    <row r="40" customFormat="false" ht="22.35" hidden="false" customHeight="false" outlineLevel="0" collapsed="false">
      <c r="A40" s="6" t="n">
        <v>36</v>
      </c>
      <c r="B40" s="7" t="s">
        <v>97</v>
      </c>
      <c r="C40" s="6" t="s">
        <v>28</v>
      </c>
      <c r="D40" s="6" t="n">
        <v>3</v>
      </c>
      <c r="E40" s="8" t="n">
        <v>1950</v>
      </c>
      <c r="F40" s="7" t="s">
        <v>28</v>
      </c>
      <c r="G40" s="9" t="n">
        <v>2500</v>
      </c>
      <c r="H40" s="9" t="n">
        <v>3500</v>
      </c>
      <c r="I40" s="10" t="n">
        <f aca="false">IF(E40=0,0,(E40-H40)/E40)</f>
        <v>-0.794871794871795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4030</v>
      </c>
      <c r="L40" s="8" t="n">
        <f aca="false">D40*E40</f>
        <v>5850</v>
      </c>
      <c r="M40" s="8" t="n">
        <f aca="false">D40*K40</f>
        <v>12090</v>
      </c>
      <c r="N40" s="8" t="n">
        <f aca="false">D40*H40</f>
        <v>10500</v>
      </c>
      <c r="O40" s="6" t="str">
        <f aca="false">IF(ISNUMBER(SEARCH(C40,F40)),"","YES")</f>
        <v/>
      </c>
      <c r="P40" s="6" t="s">
        <v>25</v>
      </c>
      <c r="Q40" s="7" t="s">
        <v>98</v>
      </c>
      <c r="R40" s="7"/>
    </row>
    <row r="41" customFormat="false" ht="22.35" hidden="false" customHeight="false" outlineLevel="0" collapsed="false">
      <c r="A41" s="6" t="n">
        <v>37</v>
      </c>
      <c r="B41" s="7" t="s">
        <v>99</v>
      </c>
      <c r="C41" s="6" t="s">
        <v>28</v>
      </c>
      <c r="D41" s="6" t="n">
        <v>3</v>
      </c>
      <c r="E41" s="8" t="n">
        <v>4550</v>
      </c>
      <c r="F41" s="7" t="s">
        <v>28</v>
      </c>
      <c r="G41" s="9" t="n">
        <v>4500</v>
      </c>
      <c r="H41" s="9" t="n">
        <v>6000</v>
      </c>
      <c r="I41" s="10" t="n">
        <f aca="false">IF(E41=0,0,(E41-H41)/E41)</f>
        <v>-0.318681318681319</v>
      </c>
      <c r="J41" s="6" t="str">
        <f aca="false">IF(E41&lt;G41,"LOSS",IF(E41&lt;H41*1.1,"THIN / RISK",IF(E41&gt;H41*1.8,"OVERPRICED?","OK")))</f>
        <v>THIN / RISK</v>
      </c>
      <c r="K41" s="8" t="n">
        <f aca="false">IF(J41="OVERPRICED?",ROUND(H41*1.35,-1),MAX(E41,ROUND(H41*(1+$E$3),-1)))</f>
        <v>6900</v>
      </c>
      <c r="L41" s="8" t="n">
        <f aca="false">D41*E41</f>
        <v>13650</v>
      </c>
      <c r="M41" s="8" t="n">
        <f aca="false">D41*K41</f>
        <v>20700</v>
      </c>
      <c r="N41" s="8" t="n">
        <f aca="false">D41*H41</f>
        <v>18000</v>
      </c>
      <c r="O41" s="6" t="str">
        <f aca="false">IF(ISNUMBER(SEARCH(C41,F41)),"","YES")</f>
        <v/>
      </c>
      <c r="P41" s="6" t="s">
        <v>25</v>
      </c>
      <c r="Q41" s="7" t="s">
        <v>100</v>
      </c>
      <c r="R41" s="7"/>
    </row>
    <row r="42" customFormat="false" ht="22.35" hidden="false" customHeight="false" outlineLevel="0" collapsed="false">
      <c r="A42" s="6" t="n">
        <v>38</v>
      </c>
      <c r="B42" s="7" t="s">
        <v>101</v>
      </c>
      <c r="C42" s="6" t="s">
        <v>28</v>
      </c>
      <c r="D42" s="6" t="n">
        <v>3</v>
      </c>
      <c r="E42" s="8" t="n">
        <v>6240</v>
      </c>
      <c r="F42" s="7" t="s">
        <v>28</v>
      </c>
      <c r="G42" s="9" t="n">
        <v>5000</v>
      </c>
      <c r="H42" s="9" t="n">
        <v>7000</v>
      </c>
      <c r="I42" s="10" t="n">
        <f aca="false">IF(E42=0,0,(E42-H42)/E42)</f>
        <v>-0.121794871794872</v>
      </c>
      <c r="J42" s="6" t="str">
        <f aca="false">IF(E42&lt;G42,"LOSS",IF(E42&lt;H42*1.1,"THIN / RISK",IF(E42&gt;H42*1.8,"OVERPRICED?","OK")))</f>
        <v>THIN / RISK</v>
      </c>
      <c r="K42" s="8" t="n">
        <f aca="false">IF(J42="OVERPRICED?",ROUND(H42*1.35,-1),MAX(E42,ROUND(H42*(1+$E$3),-1)))</f>
        <v>8050</v>
      </c>
      <c r="L42" s="8" t="n">
        <f aca="false">D42*E42</f>
        <v>18720</v>
      </c>
      <c r="M42" s="8" t="n">
        <f aca="false">D42*K42</f>
        <v>24150</v>
      </c>
      <c r="N42" s="8" t="n">
        <f aca="false">D42*H42</f>
        <v>21000</v>
      </c>
      <c r="O42" s="6" t="str">
        <f aca="false">IF(ISNUMBER(SEARCH(C42,F42)),"","YES")</f>
        <v/>
      </c>
      <c r="P42" s="6" t="s">
        <v>25</v>
      </c>
      <c r="Q42" s="7" t="s">
        <v>102</v>
      </c>
      <c r="R42" s="7"/>
    </row>
    <row r="43" customFormat="false" ht="15" hidden="false" customHeight="false" outlineLevel="0" collapsed="false">
      <c r="A43" s="6" t="n">
        <v>39</v>
      </c>
      <c r="B43" s="7" t="s">
        <v>103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3500</v>
      </c>
      <c r="H43" s="9" t="n">
        <v>4500</v>
      </c>
      <c r="I43" s="10" t="n">
        <f aca="false">IF(E43=0,0,(E43-H43)/E43)</f>
        <v>-1.30769230769231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5180</v>
      </c>
      <c r="L43" s="8" t="n">
        <f aca="false">D43*E43</f>
        <v>5850</v>
      </c>
      <c r="M43" s="8" t="n">
        <f aca="false">D43*K43</f>
        <v>15540</v>
      </c>
      <c r="N43" s="8" t="n">
        <f aca="false">D43*H43</f>
        <v>13500</v>
      </c>
      <c r="O43" s="6" t="str">
        <f aca="false">IF(ISNUMBER(SEARCH(C43,F43)),"","YES")</f>
        <v/>
      </c>
      <c r="P43" s="6" t="s">
        <v>25</v>
      </c>
      <c r="Q43" s="7" t="s">
        <v>104</v>
      </c>
      <c r="R43" s="7"/>
    </row>
    <row r="44" customFormat="false" ht="15" hidden="false" customHeight="false" outlineLevel="0" collapsed="false">
      <c r="A44" s="6" t="n">
        <v>40</v>
      </c>
      <c r="B44" s="7" t="s">
        <v>105</v>
      </c>
      <c r="C44" s="6" t="s">
        <v>106</v>
      </c>
      <c r="D44" s="6" t="n">
        <v>3</v>
      </c>
      <c r="E44" s="8" t="n">
        <v>79300</v>
      </c>
      <c r="F44" s="7" t="s">
        <v>107</v>
      </c>
      <c r="G44" s="9" t="n">
        <v>45000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>YES</v>
      </c>
      <c r="P44" s="6" t="s">
        <v>57</v>
      </c>
      <c r="Q44" s="7" t="s">
        <v>108</v>
      </c>
      <c r="R44" s="7" t="s">
        <v>109</v>
      </c>
    </row>
    <row r="45" customFormat="false" ht="15" hidden="false" customHeight="false" outlineLevel="0" collapsed="false">
      <c r="A45" s="6" t="n">
        <v>41</v>
      </c>
      <c r="B45" s="7" t="s">
        <v>110</v>
      </c>
      <c r="C45" s="6" t="s">
        <v>106</v>
      </c>
      <c r="D45" s="6" t="n">
        <v>3</v>
      </c>
      <c r="E45" s="8" t="n">
        <v>128700</v>
      </c>
      <c r="F45" s="7" t="s">
        <v>111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>YES</v>
      </c>
      <c r="P45" s="6" t="s">
        <v>25</v>
      </c>
      <c r="Q45" s="7" t="s">
        <v>112</v>
      </c>
      <c r="R45" s="7"/>
    </row>
    <row r="46" customFormat="false" ht="15" hidden="false" customHeight="false" outlineLevel="0" collapsed="false">
      <c r="A46" s="6" t="n">
        <v>42</v>
      </c>
      <c r="B46" s="7" t="s">
        <v>113</v>
      </c>
      <c r="C46" s="6" t="s">
        <v>106</v>
      </c>
      <c r="D46" s="6" t="n">
        <v>2</v>
      </c>
      <c r="E46" s="8" t="n">
        <v>106600</v>
      </c>
      <c r="F46" s="7" t="s">
        <v>114</v>
      </c>
      <c r="G46" s="9" t="n">
        <v>70000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THIN / RISK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>YES</v>
      </c>
      <c r="P46" s="6" t="s">
        <v>57</v>
      </c>
      <c r="Q46" s="7" t="s">
        <v>115</v>
      </c>
      <c r="R46" s="7" t="s">
        <v>116</v>
      </c>
    </row>
    <row r="47" customFormat="false" ht="22.35" hidden="false" customHeight="false" outlineLevel="0" collapsed="false">
      <c r="A47" s="6" t="n">
        <v>43</v>
      </c>
      <c r="B47" s="7" t="s">
        <v>117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1800</v>
      </c>
      <c r="H47" s="9" t="n">
        <v>2400</v>
      </c>
      <c r="I47" s="10" t="n">
        <f aca="false">IF(E47=0,0,(E47-H47)/E47)</f>
        <v>-0.538461538461538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2760</v>
      </c>
      <c r="L47" s="8" t="n">
        <f aca="false">D47*E47</f>
        <v>6240</v>
      </c>
      <c r="M47" s="8" t="n">
        <f aca="false">D47*K47</f>
        <v>11040</v>
      </c>
      <c r="N47" s="8" t="n">
        <f aca="false">D47*H47</f>
        <v>9600</v>
      </c>
      <c r="O47" s="6" t="str">
        <f aca="false">IF(ISNUMBER(SEARCH(C47,F47)),"","YES")</f>
        <v/>
      </c>
      <c r="P47" s="6" t="s">
        <v>25</v>
      </c>
      <c r="Q47" s="7" t="s">
        <v>118</v>
      </c>
      <c r="R47" s="7"/>
    </row>
    <row r="48" customFormat="false" ht="15" hidden="false" customHeight="false" outlineLevel="0" collapsed="false">
      <c r="A48" s="6" t="n">
        <v>44</v>
      </c>
      <c r="B48" s="7" t="s">
        <v>119</v>
      </c>
      <c r="C48" s="6" t="s">
        <v>28</v>
      </c>
      <c r="D48" s="6" t="n">
        <v>4</v>
      </c>
      <c r="E48" s="8" t="n">
        <v>1950</v>
      </c>
      <c r="F48" s="7" t="s">
        <v>37</v>
      </c>
      <c r="G48" s="9" t="n">
        <v>1700</v>
      </c>
      <c r="H48" s="9" t="n">
        <v>2300</v>
      </c>
      <c r="I48" s="10" t="n">
        <f aca="false">IF(E48=0,0,(E48-H48)/E48)</f>
        <v>-0.17948717948718</v>
      </c>
      <c r="J48" s="6" t="str">
        <f aca="false">IF(E48&lt;G48,"LOSS",IF(E48&lt;H48*1.1,"THIN / RISK",IF(E48&gt;H48*1.8,"OVERPRICED?","OK")))</f>
        <v>THIN / RISK</v>
      </c>
      <c r="K48" s="8" t="n">
        <f aca="false">IF(J48="OVERPRICED?",ROUND(H48*1.35,-1),MAX(E48,ROUND(H48*(1+$E$3),-1)))</f>
        <v>2650</v>
      </c>
      <c r="L48" s="8" t="n">
        <f aca="false">D48*E48</f>
        <v>7800</v>
      </c>
      <c r="M48" s="8" t="n">
        <f aca="false">D48*K48</f>
        <v>10600</v>
      </c>
      <c r="N48" s="8" t="n">
        <f aca="false">D48*H48</f>
        <v>9200</v>
      </c>
      <c r="O48" s="6" t="str">
        <f aca="false">IF(ISNUMBER(SEARCH(C48,F48)),"","YES")</f>
        <v>YES</v>
      </c>
      <c r="P48" s="6" t="s">
        <v>25</v>
      </c>
      <c r="Q48" s="7" t="s">
        <v>120</v>
      </c>
      <c r="R48" s="7"/>
    </row>
    <row r="49" customFormat="false" ht="15" hidden="false" customHeight="false" outlineLevel="0" collapsed="false">
      <c r="A49" s="6" t="n">
        <v>45</v>
      </c>
      <c r="B49" s="7" t="s">
        <v>121</v>
      </c>
      <c r="C49" s="6" t="s">
        <v>28</v>
      </c>
      <c r="D49" s="6" t="n">
        <v>4</v>
      </c>
      <c r="E49" s="8" t="n">
        <v>2210</v>
      </c>
      <c r="F49" s="7" t="s">
        <v>37</v>
      </c>
      <c r="G49" s="9" t="n">
        <v>1700</v>
      </c>
      <c r="H49" s="9" t="n">
        <v>2300</v>
      </c>
      <c r="I49" s="10" t="n">
        <f aca="false">IF(E49=0,0,(E49-H49)/E49)</f>
        <v>-0.0407239819004525</v>
      </c>
      <c r="J49" s="6" t="str">
        <f aca="false">IF(E49&lt;G49,"LOSS",IF(E49&lt;H49*1.1,"THIN / RISK",IF(E49&gt;H49*1.8,"OVERPRICED?","OK")))</f>
        <v>THIN / RISK</v>
      </c>
      <c r="K49" s="8" t="n">
        <f aca="false">IF(J49="OVERPRICED?",ROUND(H49*1.35,-1),MAX(E49,ROUND(H49*(1+$E$3),-1)))</f>
        <v>2650</v>
      </c>
      <c r="L49" s="8" t="n">
        <f aca="false">D49*E49</f>
        <v>8840</v>
      </c>
      <c r="M49" s="8" t="n">
        <f aca="false">D49*K49</f>
        <v>10600</v>
      </c>
      <c r="N49" s="8" t="n">
        <f aca="false">D49*H49</f>
        <v>9200</v>
      </c>
      <c r="O49" s="6" t="str">
        <f aca="false">IF(ISNUMBER(SEARCH(C49,F49)),"","YES")</f>
        <v>YES</v>
      </c>
      <c r="P49" s="6" t="s">
        <v>25</v>
      </c>
      <c r="Q49" s="7" t="s">
        <v>41</v>
      </c>
      <c r="R49" s="7"/>
    </row>
    <row r="50" customFormat="false" ht="22.35" hidden="false" customHeight="false" outlineLevel="0" collapsed="false">
      <c r="A50" s="6" t="n">
        <v>47</v>
      </c>
      <c r="B50" s="7" t="s">
        <v>122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18000</v>
      </c>
      <c r="H50" s="9" t="n">
        <v>22000</v>
      </c>
      <c r="I50" s="10" t="n">
        <f aca="false">IF(E50=0,0,(E50-H50)/E50)</f>
        <v>-0.692307692307692</v>
      </c>
      <c r="J50" s="6" t="str">
        <f aca="false">IF(E50&lt;G50,"LOSS",IF(E50&lt;H50*1.1,"THIN / RISK",IF(E50&gt;H50*1.8,"OVERPRICED?","OK")))</f>
        <v>LOSS</v>
      </c>
      <c r="K50" s="8" t="n">
        <f aca="false">IF(J50="OVERPRICED?",ROUND(H50*1.35,-1),MAX(E50,ROUND(H50*(1+$E$3),-1)))</f>
        <v>25300</v>
      </c>
      <c r="L50" s="8" t="n">
        <f aca="false">D50*E50</f>
        <v>39000</v>
      </c>
      <c r="M50" s="8" t="n">
        <f aca="false">D50*K50</f>
        <v>75900</v>
      </c>
      <c r="N50" s="8" t="n">
        <f aca="false">D50*H50</f>
        <v>66000</v>
      </c>
      <c r="O50" s="6" t="str">
        <f aca="false">IF(ISNUMBER(SEARCH(C50,F50)),"","YES")</f>
        <v/>
      </c>
      <c r="P50" s="6" t="s">
        <v>57</v>
      </c>
      <c r="Q50" s="7" t="s">
        <v>123</v>
      </c>
      <c r="R50" s="7"/>
    </row>
    <row r="51" customFormat="false" ht="22.35" hidden="false" customHeight="false" outlineLevel="0" collapsed="false">
      <c r="A51" s="6" t="n">
        <v>48</v>
      </c>
      <c r="B51" s="7" t="s">
        <v>124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22000</v>
      </c>
      <c r="H51" s="9" t="n">
        <v>32700</v>
      </c>
      <c r="I51" s="10" t="n">
        <f aca="false">IF(E51=0,0,(E51-H51)/E51)</f>
        <v>-1.09615384615385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37610</v>
      </c>
      <c r="L51" s="8" t="n">
        <f aca="false">D51*E51</f>
        <v>31200</v>
      </c>
      <c r="M51" s="8" t="n">
        <f aca="false">D51*K51</f>
        <v>75220</v>
      </c>
      <c r="N51" s="8" t="n">
        <f aca="false">D51*H51</f>
        <v>65400</v>
      </c>
      <c r="O51" s="6" t="str">
        <f aca="false">IF(ISNUMBER(SEARCH(C51,F51)),"","YES")</f>
        <v/>
      </c>
      <c r="P51" s="6" t="s">
        <v>45</v>
      </c>
      <c r="Q51" s="7" t="s">
        <v>125</v>
      </c>
      <c r="R51" s="7"/>
    </row>
    <row r="52" customFormat="false" ht="15" hidden="false" customHeight="false" outlineLevel="0" collapsed="false">
      <c r="A52" s="6" t="n">
        <v>49</v>
      </c>
      <c r="B52" s="7" t="s">
        <v>126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25000</v>
      </c>
      <c r="H52" s="9" t="n">
        <v>33000</v>
      </c>
      <c r="I52" s="10" t="n">
        <f aca="false">IF(E52=0,0,(E52-H52)/E52)</f>
        <v>-0.586538461538462</v>
      </c>
      <c r="J52" s="6" t="str">
        <f aca="false">IF(E52&lt;G52,"LOSS",IF(E52&lt;H52*1.1,"THIN / RISK",IF(E52&gt;H52*1.8,"OVERPRICED?","OK")))</f>
        <v>LOSS</v>
      </c>
      <c r="K52" s="8" t="n">
        <f aca="false">IF(J52="OVERPRICED?",ROUND(H52*1.35,-1),MAX(E52,ROUND(H52*(1+$E$3),-1)))</f>
        <v>37950</v>
      </c>
      <c r="L52" s="8" t="n">
        <f aca="false">D52*E52</f>
        <v>20800</v>
      </c>
      <c r="M52" s="8" t="n">
        <f aca="false">D52*K52</f>
        <v>37950</v>
      </c>
      <c r="N52" s="8" t="n">
        <f aca="false">D52*H52</f>
        <v>33000</v>
      </c>
      <c r="O52" s="6" t="str">
        <f aca="false">IF(ISNUMBER(SEARCH(C52,F52)),"","YES")</f>
        <v/>
      </c>
      <c r="P52" s="6" t="s">
        <v>45</v>
      </c>
      <c r="Q52" s="7" t="s">
        <v>127</v>
      </c>
      <c r="R52" s="7"/>
    </row>
    <row r="53" customFormat="false" ht="15" hidden="false" customHeight="false" outlineLevel="0" collapsed="false">
      <c r="A53" s="6" t="n">
        <v>50</v>
      </c>
      <c r="B53" s="7" t="s">
        <v>128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32000</v>
      </c>
      <c r="H53" s="9" t="n">
        <v>42000</v>
      </c>
      <c r="I53" s="10" t="n">
        <f aca="false">IF(E53=0,0,(E53-H53)/E53)</f>
        <v>-0.468531468531469</v>
      </c>
      <c r="J53" s="6" t="str">
        <f aca="false">IF(E53&lt;G53,"LOSS",IF(E53&lt;H53*1.1,"THIN / RISK",IF(E53&gt;H53*1.8,"OVERPRICED?","OK")))</f>
        <v>LOSS</v>
      </c>
      <c r="K53" s="8" t="n">
        <f aca="false">IF(J53="OVERPRICED?",ROUND(H53*1.35,-1),MAX(E53,ROUND(H53*(1+$E$3),-1)))</f>
        <v>48300</v>
      </c>
      <c r="L53" s="8" t="n">
        <f aca="false">D53*E53</f>
        <v>28600</v>
      </c>
      <c r="M53" s="8" t="n">
        <f aca="false">D53*K53</f>
        <v>48300</v>
      </c>
      <c r="N53" s="8" t="n">
        <f aca="false">D53*H53</f>
        <v>42000</v>
      </c>
      <c r="O53" s="6" t="str">
        <f aca="false">IF(ISNUMBER(SEARCH(C53,F53)),"","YES")</f>
        <v/>
      </c>
      <c r="P53" s="6" t="s">
        <v>45</v>
      </c>
      <c r="Q53" s="7" t="s">
        <v>127</v>
      </c>
      <c r="R53" s="7"/>
    </row>
    <row r="54" customFormat="false" ht="22.35" hidden="false" customHeight="false" outlineLevel="0" collapsed="false">
      <c r="A54" s="6" t="n">
        <v>51</v>
      </c>
      <c r="B54" s="7" t="s">
        <v>129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25</v>
      </c>
      <c r="Q54" s="7" t="s">
        <v>130</v>
      </c>
      <c r="R54" s="7"/>
    </row>
    <row r="55" customFormat="false" ht="15" hidden="false" customHeight="false" outlineLevel="0" collapsed="false">
      <c r="A55" s="6" t="n">
        <v>52</v>
      </c>
      <c r="B55" s="7" t="s">
        <v>131</v>
      </c>
      <c r="C55" s="6" t="s">
        <v>28</v>
      </c>
      <c r="D55" s="6" t="n">
        <v>2</v>
      </c>
      <c r="E55" s="8" t="n">
        <v>18200</v>
      </c>
      <c r="F55" s="7" t="s">
        <v>28</v>
      </c>
      <c r="G55" s="9" t="n">
        <v>22500</v>
      </c>
      <c r="H55" s="9" t="n">
        <v>30000</v>
      </c>
      <c r="I55" s="10" t="n">
        <f aca="false">IF(E55=0,0,(E55-H55)/E55)</f>
        <v>-0.648351648351648</v>
      </c>
      <c r="J55" s="6" t="str">
        <f aca="false">IF(E55&lt;G55,"LOSS",IF(E55&lt;H55*1.1,"THIN / RISK",IF(E55&gt;H55*1.8,"OVERPRICED?","OK")))</f>
        <v>LOSS</v>
      </c>
      <c r="K55" s="8" t="n">
        <f aca="false">IF(J55="OVERPRICED?",ROUND(H55*1.35,-1),MAX(E55,ROUND(H55*(1+$E$3),-1)))</f>
        <v>34500</v>
      </c>
      <c r="L55" s="8" t="n">
        <f aca="false">D55*E55</f>
        <v>36400</v>
      </c>
      <c r="M55" s="8" t="n">
        <f aca="false">D55*K55</f>
        <v>69000</v>
      </c>
      <c r="N55" s="8" t="n">
        <f aca="false">D55*H55</f>
        <v>60000</v>
      </c>
      <c r="O55" s="6" t="str">
        <f aca="false">IF(ISNUMBER(SEARCH(C55,F55)),"","YES")</f>
        <v/>
      </c>
      <c r="P55" s="6" t="s">
        <v>57</v>
      </c>
      <c r="Q55" s="7" t="s">
        <v>132</v>
      </c>
      <c r="R55" s="7"/>
    </row>
    <row r="56" customFormat="false" ht="15" hidden="false" customHeight="false" outlineLevel="0" collapsed="false">
      <c r="A56" s="6" t="n">
        <v>53</v>
      </c>
      <c r="B56" s="7" t="s">
        <v>133</v>
      </c>
      <c r="C56" s="6" t="s">
        <v>28</v>
      </c>
      <c r="D56" s="6" t="n">
        <v>1</v>
      </c>
      <c r="E56" s="8" t="n">
        <v>23400</v>
      </c>
      <c r="F56" s="7" t="s">
        <v>28</v>
      </c>
      <c r="G56" s="9" t="n">
        <v>30000</v>
      </c>
      <c r="H56" s="9" t="n">
        <v>38100</v>
      </c>
      <c r="I56" s="10" t="n">
        <f aca="false">IF(E56=0,0,(E56-H56)/E56)</f>
        <v>-0.628205128205128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43820</v>
      </c>
      <c r="L56" s="8" t="n">
        <f aca="false">D56*E56</f>
        <v>23400</v>
      </c>
      <c r="M56" s="8" t="n">
        <f aca="false">D56*K56</f>
        <v>43820</v>
      </c>
      <c r="N56" s="8" t="n">
        <f aca="false">D56*H56</f>
        <v>38100</v>
      </c>
      <c r="O56" s="6" t="str">
        <f aca="false">IF(ISNUMBER(SEARCH(C56,F56)),"","YES")</f>
        <v/>
      </c>
      <c r="P56" s="6" t="s">
        <v>57</v>
      </c>
      <c r="Q56" s="7" t="s">
        <v>134</v>
      </c>
      <c r="R56" s="7"/>
    </row>
    <row r="57" customFormat="false" ht="22.35" hidden="false" customHeight="false" outlineLevel="0" collapsed="false">
      <c r="A57" s="6" t="n">
        <v>54</v>
      </c>
      <c r="B57" s="7" t="s">
        <v>135</v>
      </c>
      <c r="C57" s="6" t="s">
        <v>106</v>
      </c>
      <c r="D57" s="6" t="n">
        <v>2</v>
      </c>
      <c r="E57" s="8" t="n">
        <v>400946</v>
      </c>
      <c r="F57" s="7" t="s">
        <v>136</v>
      </c>
      <c r="G57" s="9" t="n">
        <v>49000</v>
      </c>
      <c r="H57" s="9" t="n">
        <v>130000</v>
      </c>
      <c r="I57" s="10" t="n">
        <f aca="false">IF(E57=0,0,(E57-H57)/E57)</f>
        <v>0.675766811490824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175500</v>
      </c>
      <c r="L57" s="8" t="n">
        <f aca="false">D57*E57</f>
        <v>801892</v>
      </c>
      <c r="M57" s="8" t="n">
        <f aca="false">D57*K57</f>
        <v>351000</v>
      </c>
      <c r="N57" s="8" t="n">
        <f aca="false">D57*H57</f>
        <v>260000</v>
      </c>
      <c r="O57" s="6" t="str">
        <f aca="false">IF(ISNUMBER(SEARCH(C57,F57)),"","YES")</f>
        <v>YES</v>
      </c>
      <c r="P57" s="6" t="s">
        <v>57</v>
      </c>
      <c r="Q57" s="7" t="s">
        <v>137</v>
      </c>
      <c r="R57" s="7" t="s">
        <v>138</v>
      </c>
    </row>
    <row r="58" customFormat="false" ht="15" hidden="false" customHeight="false" outlineLevel="0" collapsed="false">
      <c r="A58" s="6" t="n">
        <v>55</v>
      </c>
      <c r="B58" s="7" t="s">
        <v>139</v>
      </c>
      <c r="C58" s="6" t="s">
        <v>28</v>
      </c>
      <c r="D58" s="6" t="n">
        <v>2</v>
      </c>
      <c r="E58" s="8" t="n">
        <v>15600</v>
      </c>
      <c r="F58" s="7" t="s">
        <v>140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25</v>
      </c>
      <c r="Q58" s="7" t="s">
        <v>41</v>
      </c>
      <c r="R58" s="7" t="s">
        <v>141</v>
      </c>
    </row>
    <row r="59" customFormat="false" ht="15" hidden="false" customHeight="false" outlineLevel="0" collapsed="false">
      <c r="A59" s="6" t="n">
        <v>56</v>
      </c>
      <c r="B59" s="7" t="s">
        <v>142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45</v>
      </c>
      <c r="Q59" s="7" t="s">
        <v>143</v>
      </c>
      <c r="R59" s="7"/>
    </row>
    <row r="60" customFormat="false" ht="15" hidden="false" customHeight="false" outlineLevel="0" collapsed="false">
      <c r="A60" s="6" t="n">
        <v>57</v>
      </c>
      <c r="B60" s="7" t="s">
        <v>144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9000</v>
      </c>
      <c r="I60" s="10" t="n">
        <f aca="false">IF(E60=0,0,(E60-H60)/E60)</f>
        <v>-0.978021978021978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10350</v>
      </c>
      <c r="L60" s="8" t="n">
        <f aca="false">D60*E60</f>
        <v>18200</v>
      </c>
      <c r="M60" s="8" t="n">
        <f aca="false">D60*K60</f>
        <v>41400</v>
      </c>
      <c r="N60" s="8" t="n">
        <f aca="false">D60*H60</f>
        <v>36000</v>
      </c>
      <c r="O60" s="6" t="str">
        <f aca="false">IF(ISNUMBER(SEARCH(C60,F60)),"","YES")</f>
        <v/>
      </c>
      <c r="P60" s="6" t="s">
        <v>57</v>
      </c>
      <c r="Q60" s="7" t="s">
        <v>145</v>
      </c>
      <c r="R60" s="7"/>
    </row>
    <row r="61" customFormat="false" ht="15" hidden="false" customHeight="false" outlineLevel="0" collapsed="false">
      <c r="A61" s="6" t="n">
        <v>58</v>
      </c>
      <c r="B61" s="7" t="s">
        <v>146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25</v>
      </c>
      <c r="Q61" s="7" t="s">
        <v>41</v>
      </c>
      <c r="R61" s="7"/>
    </row>
    <row r="62" customFormat="false" ht="15" hidden="false" customHeight="false" outlineLevel="0" collapsed="false">
      <c r="A62" s="6" t="n">
        <v>59</v>
      </c>
      <c r="B62" s="7" t="s">
        <v>147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25</v>
      </c>
      <c r="Q62" s="7" t="s">
        <v>41</v>
      </c>
      <c r="R62" s="7"/>
    </row>
    <row r="63" customFormat="false" ht="15" hidden="false" customHeight="false" outlineLevel="0" collapsed="false">
      <c r="A63" s="6" t="n">
        <v>60</v>
      </c>
      <c r="B63" s="7" t="s">
        <v>148</v>
      </c>
      <c r="C63" s="6" t="s">
        <v>28</v>
      </c>
      <c r="D63" s="6" t="n">
        <v>2</v>
      </c>
      <c r="E63" s="8" t="n">
        <v>9100</v>
      </c>
      <c r="F63" s="7" t="s">
        <v>37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25</v>
      </c>
      <c r="Q63" s="7" t="s">
        <v>149</v>
      </c>
      <c r="R63" s="7"/>
    </row>
    <row r="64" customFormat="false" ht="15" hidden="false" customHeight="false" outlineLevel="0" collapsed="false">
      <c r="A64" s="6" t="n">
        <v>61</v>
      </c>
      <c r="B64" s="7" t="s">
        <v>150</v>
      </c>
      <c r="C64" s="6" t="s">
        <v>28</v>
      </c>
      <c r="D64" s="6" t="n">
        <v>2</v>
      </c>
      <c r="E64" s="8" t="n">
        <v>5850</v>
      </c>
      <c r="F64" s="7" t="s">
        <v>37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25</v>
      </c>
      <c r="Q64" s="7" t="s">
        <v>41</v>
      </c>
      <c r="R64" s="7"/>
    </row>
    <row r="65" customFormat="false" ht="15" hidden="false" customHeight="false" outlineLevel="0" collapsed="false">
      <c r="A65" s="6" t="n">
        <v>62</v>
      </c>
      <c r="B65" s="7" t="s">
        <v>151</v>
      </c>
      <c r="C65" s="6" t="s">
        <v>28</v>
      </c>
      <c r="D65" s="6" t="n">
        <v>3</v>
      </c>
      <c r="E65" s="8" t="n">
        <v>2600</v>
      </c>
      <c r="F65" s="7" t="s">
        <v>28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25</v>
      </c>
      <c r="Q65" s="7" t="s">
        <v>41</v>
      </c>
      <c r="R65" s="7"/>
    </row>
    <row r="66" customFormat="false" ht="15" hidden="false" customHeight="false" outlineLevel="0" collapsed="false">
      <c r="A66" s="6" t="n">
        <v>63</v>
      </c>
      <c r="B66" s="7" t="s">
        <v>152</v>
      </c>
      <c r="C66" s="6" t="s">
        <v>28</v>
      </c>
      <c r="D66" s="6" t="n">
        <v>1</v>
      </c>
      <c r="E66" s="8" t="n">
        <v>5551</v>
      </c>
      <c r="F66" s="7" t="s">
        <v>28</v>
      </c>
      <c r="G66" s="9" t="n">
        <v>9000</v>
      </c>
      <c r="H66" s="9" t="n">
        <v>11000</v>
      </c>
      <c r="I66" s="10" t="n">
        <f aca="false">IF(E66=0,0,(E66-H66)/E66)</f>
        <v>-0.981624932444605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12650</v>
      </c>
      <c r="L66" s="8" t="n">
        <f aca="false">D66*E66</f>
        <v>5551</v>
      </c>
      <c r="M66" s="8" t="n">
        <f aca="false">D66*K66</f>
        <v>12650</v>
      </c>
      <c r="N66" s="8" t="n">
        <f aca="false">D66*H66</f>
        <v>11000</v>
      </c>
      <c r="O66" s="6" t="str">
        <f aca="false">IF(ISNUMBER(SEARCH(C66,F66)),"","YES")</f>
        <v/>
      </c>
      <c r="P66" s="6" t="s">
        <v>45</v>
      </c>
      <c r="Q66" s="7" t="s">
        <v>153</v>
      </c>
      <c r="R66" s="7"/>
    </row>
    <row r="67" customFormat="false" ht="15" hidden="false" customHeight="false" outlineLevel="0" collapsed="false">
      <c r="A67" s="6" t="n">
        <v>64</v>
      </c>
      <c r="B67" s="7" t="s">
        <v>154</v>
      </c>
      <c r="C67" s="6" t="s">
        <v>28</v>
      </c>
      <c r="D67" s="6" t="n">
        <v>3</v>
      </c>
      <c r="E67" s="8" t="n">
        <v>1560</v>
      </c>
      <c r="F67" s="7" t="s">
        <v>37</v>
      </c>
      <c r="G67" s="9" t="n">
        <v>1300</v>
      </c>
      <c r="H67" s="9" t="n">
        <v>1800</v>
      </c>
      <c r="I67" s="10" t="n">
        <f aca="false">IF(E67=0,0,(E67-H67)/E67)</f>
        <v>-0.153846153846154</v>
      </c>
      <c r="J67" s="6" t="str">
        <f aca="false">IF(E67&lt;G67,"LOSS",IF(E67&lt;H67*1.1,"THIN / RISK",IF(E67&gt;H67*1.8,"OVERPRICED?","OK")))</f>
        <v>THIN / RISK</v>
      </c>
      <c r="K67" s="8" t="n">
        <f aca="false">IF(J67="OVERPRICED?",ROUND(H67*1.35,-1),MAX(E67,ROUND(H67*(1+$E$3),-1)))</f>
        <v>2070</v>
      </c>
      <c r="L67" s="8" t="n">
        <f aca="false">D67*E67</f>
        <v>4680</v>
      </c>
      <c r="M67" s="8" t="n">
        <f aca="false">D67*K67</f>
        <v>6210</v>
      </c>
      <c r="N67" s="8" t="n">
        <f aca="false">D67*H67</f>
        <v>5400</v>
      </c>
      <c r="O67" s="6" t="str">
        <f aca="false">IF(ISNUMBER(SEARCH(C67,F67)),"","YES")</f>
        <v>YES</v>
      </c>
      <c r="P67" s="6" t="s">
        <v>25</v>
      </c>
      <c r="Q67" s="7" t="s">
        <v>41</v>
      </c>
      <c r="R67" s="7"/>
    </row>
    <row r="68" customFormat="false" ht="15" hidden="false" customHeight="false" outlineLevel="0" collapsed="false">
      <c r="A68" s="6" t="n">
        <v>65</v>
      </c>
      <c r="B68" s="7" t="s">
        <v>155</v>
      </c>
      <c r="C68" s="6" t="s">
        <v>28</v>
      </c>
      <c r="D68" s="6" t="n">
        <v>3</v>
      </c>
      <c r="E68" s="8" t="n">
        <v>1560</v>
      </c>
      <c r="F68" s="7" t="s">
        <v>37</v>
      </c>
      <c r="G68" s="9" t="n">
        <v>1300</v>
      </c>
      <c r="H68" s="9" t="n">
        <v>1800</v>
      </c>
      <c r="I68" s="10" t="n">
        <f aca="false">IF(E68=0,0,(E68-H68)/E68)</f>
        <v>-0.153846153846154</v>
      </c>
      <c r="J68" s="6" t="str">
        <f aca="false">IF(E68&lt;G68,"LOSS",IF(E68&lt;H68*1.1,"THIN / RISK",IF(E68&gt;H68*1.8,"OVERPRICED?","OK")))</f>
        <v>THIN / RISK</v>
      </c>
      <c r="K68" s="8" t="n">
        <f aca="false">IF(J68="OVERPRICED?",ROUND(H68*1.35,-1),MAX(E68,ROUND(H68*(1+$E$3),-1)))</f>
        <v>2070</v>
      </c>
      <c r="L68" s="8" t="n">
        <f aca="false">D68*E68</f>
        <v>4680</v>
      </c>
      <c r="M68" s="8" t="n">
        <f aca="false">D68*K68</f>
        <v>6210</v>
      </c>
      <c r="N68" s="8" t="n">
        <f aca="false">D68*H68</f>
        <v>5400</v>
      </c>
      <c r="O68" s="6" t="str">
        <f aca="false">IF(ISNUMBER(SEARCH(C68,F68)),"","YES")</f>
        <v>YES</v>
      </c>
      <c r="P68" s="6" t="s">
        <v>25</v>
      </c>
      <c r="Q68" s="7" t="s">
        <v>41</v>
      </c>
      <c r="R68" s="7"/>
    </row>
    <row r="69" customFormat="false" ht="15" hidden="false" customHeight="false" outlineLevel="0" collapsed="false">
      <c r="A69" s="6" t="n">
        <v>66</v>
      </c>
      <c r="B69" s="7" t="s">
        <v>156</v>
      </c>
      <c r="C69" s="6" t="s">
        <v>28</v>
      </c>
      <c r="D69" s="6" t="n">
        <v>2</v>
      </c>
      <c r="E69" s="8" t="n">
        <v>11700</v>
      </c>
      <c r="F69" s="7" t="s">
        <v>157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25</v>
      </c>
      <c r="Q69" s="7" t="s">
        <v>41</v>
      </c>
      <c r="R69" s="7" t="s">
        <v>158</v>
      </c>
    </row>
    <row r="70" customFormat="false" ht="15" hidden="false" customHeight="false" outlineLevel="0" collapsed="false">
      <c r="A70" s="6" t="n">
        <v>67</v>
      </c>
      <c r="B70" s="7" t="s">
        <v>159</v>
      </c>
      <c r="C70" s="6" t="s">
        <v>28</v>
      </c>
      <c r="D70" s="6" t="n">
        <v>2</v>
      </c>
      <c r="E70" s="8" t="n">
        <v>9750</v>
      </c>
      <c r="F70" s="7" t="s">
        <v>157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25</v>
      </c>
      <c r="Q70" s="7" t="s">
        <v>41</v>
      </c>
      <c r="R70" s="7"/>
    </row>
    <row r="71" customFormat="false" ht="15" hidden="false" customHeight="false" outlineLevel="0" collapsed="false">
      <c r="A71" s="6" t="n">
        <v>69</v>
      </c>
      <c r="B71" s="7" t="s">
        <v>160</v>
      </c>
      <c r="C71" s="6" t="s">
        <v>28</v>
      </c>
      <c r="D71" s="6" t="n">
        <v>2</v>
      </c>
      <c r="E71" s="8" t="n">
        <v>23400</v>
      </c>
      <c r="F71" s="7" t="s">
        <v>161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25</v>
      </c>
      <c r="Q71" s="7" t="s">
        <v>41</v>
      </c>
      <c r="R71" s="7"/>
    </row>
    <row r="72" customFormat="false" ht="15" hidden="false" customHeight="false" outlineLevel="0" collapsed="false">
      <c r="A72" s="6" t="n">
        <v>70</v>
      </c>
      <c r="B72" s="7" t="s">
        <v>162</v>
      </c>
      <c r="C72" s="6" t="s">
        <v>28</v>
      </c>
      <c r="D72" s="6" t="n">
        <v>1</v>
      </c>
      <c r="E72" s="8" t="n">
        <v>32500</v>
      </c>
      <c r="F72" s="7" t="s">
        <v>161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25</v>
      </c>
      <c r="Q72" s="7" t="s">
        <v>41</v>
      </c>
      <c r="R72" s="7"/>
    </row>
    <row r="73" customFormat="false" ht="15" hidden="false" customHeight="false" outlineLevel="0" collapsed="false">
      <c r="A73" s="6" t="n">
        <v>71</v>
      </c>
      <c r="B73" s="7" t="s">
        <v>163</v>
      </c>
      <c r="C73" s="6" t="s">
        <v>28</v>
      </c>
      <c r="D73" s="6" t="n">
        <v>1</v>
      </c>
      <c r="E73" s="8" t="n">
        <v>1105</v>
      </c>
      <c r="F73" s="7" t="s">
        <v>37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25</v>
      </c>
      <c r="Q73" s="7" t="s">
        <v>41</v>
      </c>
      <c r="R73" s="7"/>
    </row>
    <row r="74" customFormat="false" ht="15" hidden="false" customHeight="false" outlineLevel="0" collapsed="false">
      <c r="A74" s="6" t="n">
        <v>73</v>
      </c>
      <c r="B74" s="7" t="s">
        <v>164</v>
      </c>
      <c r="C74" s="6" t="s">
        <v>28</v>
      </c>
      <c r="D74" s="6" t="n">
        <v>1</v>
      </c>
      <c r="E74" s="8" t="n">
        <v>45500</v>
      </c>
      <c r="F74" s="7" t="s">
        <v>165</v>
      </c>
      <c r="G74" s="9" t="n">
        <v>25000</v>
      </c>
      <c r="H74" s="9" t="n">
        <v>35000</v>
      </c>
      <c r="I74" s="10" t="n">
        <f aca="false">IF(E74=0,0,(E74-H74)/E74)</f>
        <v>0.230769230769231</v>
      </c>
      <c r="J74" s="6" t="str">
        <f aca="false">IF(E74&lt;G74,"LOSS",IF(E74&lt;H74*1.1,"THIN / RISK",IF(E74&gt;H74*1.8,"OVERPRICED?","OK")))</f>
        <v>OK</v>
      </c>
      <c r="K74" s="8" t="n">
        <f aca="false">IF(J74="OVERPRICED?",ROUND(H74*1.35,-1),MAX(E74,ROUND(H74*(1+$E$3),-1)))</f>
        <v>45500</v>
      </c>
      <c r="L74" s="8" t="n">
        <f aca="false">D74*E74</f>
        <v>45500</v>
      </c>
      <c r="M74" s="8" t="n">
        <f aca="false">D74*K74</f>
        <v>45500</v>
      </c>
      <c r="N74" s="8" t="n">
        <f aca="false">D74*H74</f>
        <v>35000</v>
      </c>
      <c r="O74" s="6" t="str">
        <f aca="false">IF(ISNUMBER(SEARCH(C74,F74)),"","YES")</f>
        <v>YES</v>
      </c>
      <c r="P74" s="6" t="s">
        <v>25</v>
      </c>
      <c r="Q74" s="7" t="s">
        <v>38</v>
      </c>
      <c r="R74" s="7"/>
    </row>
    <row r="75" customFormat="false" ht="15" hidden="false" customHeight="false" outlineLevel="0" collapsed="false">
      <c r="A75" s="6" t="n">
        <v>74</v>
      </c>
      <c r="B75" s="7" t="s">
        <v>166</v>
      </c>
      <c r="C75" s="6" t="s">
        <v>28</v>
      </c>
      <c r="D75" s="6" t="n">
        <v>2</v>
      </c>
      <c r="E75" s="8" t="n">
        <v>23400</v>
      </c>
      <c r="F75" s="7" t="s">
        <v>37</v>
      </c>
      <c r="G75" s="9" t="n">
        <v>12000</v>
      </c>
      <c r="H75" s="9" t="n">
        <v>18000</v>
      </c>
      <c r="I75" s="10" t="n">
        <f aca="false">IF(E75=0,0,(E75-H75)/E75)</f>
        <v>0.230769230769231</v>
      </c>
      <c r="J75" s="6" t="str">
        <f aca="false">IF(E75&lt;G75,"LOSS",IF(E75&lt;H75*1.1,"THIN / RISK",IF(E75&gt;H75*1.8,"OVERPRICED?","OK")))</f>
        <v>OK</v>
      </c>
      <c r="K75" s="8" t="n">
        <f aca="false">IF(J75="OVERPRICED?",ROUND(H75*1.35,-1),MAX(E75,ROUND(H75*(1+$E$3),-1)))</f>
        <v>23400</v>
      </c>
      <c r="L75" s="8" t="n">
        <f aca="false">D75*E75</f>
        <v>46800</v>
      </c>
      <c r="M75" s="8" t="n">
        <f aca="false">D75*K75</f>
        <v>46800</v>
      </c>
      <c r="N75" s="8" t="n">
        <f aca="false">D75*H75</f>
        <v>36000</v>
      </c>
      <c r="O75" s="6" t="str">
        <f aca="false">IF(ISNUMBER(SEARCH(C75,F75)),"","YES")</f>
        <v>YES</v>
      </c>
      <c r="P75" s="6" t="s">
        <v>25</v>
      </c>
      <c r="Q75" s="7" t="s">
        <v>38</v>
      </c>
      <c r="R75" s="7"/>
    </row>
    <row r="76" customFormat="false" ht="15" hidden="false" customHeight="false" outlineLevel="0" collapsed="false">
      <c r="A76" s="6" t="n">
        <v>75</v>
      </c>
      <c r="B76" s="7" t="s">
        <v>167</v>
      </c>
      <c r="C76" s="6" t="s">
        <v>28</v>
      </c>
      <c r="D76" s="6" t="n">
        <v>2</v>
      </c>
      <c r="E76" s="8" t="n">
        <v>1950</v>
      </c>
      <c r="F76" s="7" t="s">
        <v>168</v>
      </c>
      <c r="G76" s="9" t="n">
        <v>2500</v>
      </c>
      <c r="H76" s="9" t="n">
        <v>3200</v>
      </c>
      <c r="I76" s="10" t="n">
        <f aca="false">IF(E76=0,0,(E76-H76)/E76)</f>
        <v>-0.641025641025641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3680</v>
      </c>
      <c r="L76" s="8" t="n">
        <f aca="false">D76*E76</f>
        <v>3900</v>
      </c>
      <c r="M76" s="8" t="n">
        <f aca="false">D76*K76</f>
        <v>7360</v>
      </c>
      <c r="N76" s="8" t="n">
        <f aca="false">D76*H76</f>
        <v>6400</v>
      </c>
      <c r="O76" s="6" t="str">
        <f aca="false">IF(ISNUMBER(SEARCH(C76,F76)),"","YES")</f>
        <v>YES</v>
      </c>
      <c r="P76" s="6" t="s">
        <v>25</v>
      </c>
      <c r="Q76" s="7" t="s">
        <v>169</v>
      </c>
      <c r="R76" s="7" t="s">
        <v>170</v>
      </c>
    </row>
    <row r="77" customFormat="false" ht="15" hidden="false" customHeight="false" outlineLevel="0" collapsed="false">
      <c r="A77" s="6" t="n">
        <v>76</v>
      </c>
      <c r="B77" s="7" t="s">
        <v>171</v>
      </c>
      <c r="C77" s="6" t="s">
        <v>28</v>
      </c>
      <c r="D77" s="6" t="n">
        <v>2</v>
      </c>
      <c r="E77" s="8" t="n">
        <v>2080</v>
      </c>
      <c r="F77" s="7" t="s">
        <v>168</v>
      </c>
      <c r="G77" s="9" t="n">
        <v>2700</v>
      </c>
      <c r="H77" s="9" t="n">
        <v>3400</v>
      </c>
      <c r="I77" s="10" t="n">
        <f aca="false">IF(E77=0,0,(E77-H77)/E77)</f>
        <v>-0.634615384615385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3910</v>
      </c>
      <c r="L77" s="8" t="n">
        <f aca="false">D77*E77</f>
        <v>4160</v>
      </c>
      <c r="M77" s="8" t="n">
        <f aca="false">D77*K77</f>
        <v>7820</v>
      </c>
      <c r="N77" s="8" t="n">
        <f aca="false">D77*H77</f>
        <v>6800</v>
      </c>
      <c r="O77" s="6" t="str">
        <f aca="false">IF(ISNUMBER(SEARCH(C77,F77)),"","YES")</f>
        <v>YES</v>
      </c>
      <c r="P77" s="6" t="s">
        <v>25</v>
      </c>
      <c r="Q77" s="7" t="s">
        <v>41</v>
      </c>
      <c r="R77" s="7"/>
    </row>
    <row r="78" customFormat="false" ht="15" hidden="false" customHeight="false" outlineLevel="0" collapsed="false">
      <c r="A78" s="6" t="n">
        <v>77</v>
      </c>
      <c r="B78" s="7" t="s">
        <v>172</v>
      </c>
      <c r="C78" s="6" t="s">
        <v>28</v>
      </c>
      <c r="D78" s="6" t="n">
        <v>2</v>
      </c>
      <c r="E78" s="8" t="n">
        <v>2210</v>
      </c>
      <c r="F78" s="7" t="s">
        <v>168</v>
      </c>
      <c r="G78" s="9" t="n">
        <v>2800</v>
      </c>
      <c r="H78" s="9" t="n">
        <v>3600</v>
      </c>
      <c r="I78" s="10" t="n">
        <f aca="false">IF(E78=0,0,(E78-H78)/E78)</f>
        <v>-0.6289592760181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4140</v>
      </c>
      <c r="L78" s="8" t="n">
        <f aca="false">D78*E78</f>
        <v>4420</v>
      </c>
      <c r="M78" s="8" t="n">
        <f aca="false">D78*K78</f>
        <v>8280</v>
      </c>
      <c r="N78" s="8" t="n">
        <f aca="false">D78*H78</f>
        <v>7200</v>
      </c>
      <c r="O78" s="6" t="str">
        <f aca="false">IF(ISNUMBER(SEARCH(C78,F78)),"","YES")</f>
        <v>YES</v>
      </c>
      <c r="P78" s="6" t="s">
        <v>25</v>
      </c>
      <c r="Q78" s="7" t="s">
        <v>41</v>
      </c>
      <c r="R78" s="7"/>
    </row>
    <row r="79" customFormat="false" ht="15" hidden="false" customHeight="false" outlineLevel="0" collapsed="false">
      <c r="A79" s="6" t="n">
        <v>78</v>
      </c>
      <c r="B79" s="7" t="s">
        <v>173</v>
      </c>
      <c r="C79" s="6" t="s">
        <v>28</v>
      </c>
      <c r="D79" s="6" t="n">
        <v>2</v>
      </c>
      <c r="E79" s="8" t="n">
        <v>2340</v>
      </c>
      <c r="F79" s="7" t="s">
        <v>168</v>
      </c>
      <c r="G79" s="9" t="n">
        <v>3000</v>
      </c>
      <c r="H79" s="9" t="n">
        <v>3800</v>
      </c>
      <c r="I79" s="10" t="n">
        <f aca="false">IF(E79=0,0,(E79-H79)/E79)</f>
        <v>-0.623931623931624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4370</v>
      </c>
      <c r="L79" s="8" t="n">
        <f aca="false">D79*E79</f>
        <v>4680</v>
      </c>
      <c r="M79" s="8" t="n">
        <f aca="false">D79*K79</f>
        <v>8740</v>
      </c>
      <c r="N79" s="8" t="n">
        <f aca="false">D79*H79</f>
        <v>7600</v>
      </c>
      <c r="O79" s="6" t="str">
        <f aca="false">IF(ISNUMBER(SEARCH(C79,F79)),"","YES")</f>
        <v>YES</v>
      </c>
      <c r="P79" s="6" t="s">
        <v>25</v>
      </c>
      <c r="Q79" s="7" t="s">
        <v>41</v>
      </c>
      <c r="R79" s="7"/>
    </row>
    <row r="80" customFormat="false" ht="15" hidden="false" customHeight="false" outlineLevel="0" collapsed="false">
      <c r="A80" s="6" t="n">
        <v>79</v>
      </c>
      <c r="B80" s="7" t="s">
        <v>174</v>
      </c>
      <c r="C80" s="6" t="s">
        <v>28</v>
      </c>
      <c r="D80" s="6" t="n">
        <v>2</v>
      </c>
      <c r="E80" s="8" t="n">
        <v>2470</v>
      </c>
      <c r="F80" s="7" t="s">
        <v>168</v>
      </c>
      <c r="G80" s="9" t="n">
        <v>3100</v>
      </c>
      <c r="H80" s="9" t="n">
        <v>4000</v>
      </c>
      <c r="I80" s="10" t="n">
        <f aca="false">IF(E80=0,0,(E80-H80)/E80)</f>
        <v>-0.619433198380567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4600</v>
      </c>
      <c r="L80" s="8" t="n">
        <f aca="false">D80*E80</f>
        <v>4940</v>
      </c>
      <c r="M80" s="8" t="n">
        <f aca="false">D80*K80</f>
        <v>9200</v>
      </c>
      <c r="N80" s="8" t="n">
        <f aca="false">D80*H80</f>
        <v>8000</v>
      </c>
      <c r="O80" s="6" t="str">
        <f aca="false">IF(ISNUMBER(SEARCH(C80,F80)),"","YES")</f>
        <v>YES</v>
      </c>
      <c r="P80" s="6" t="s">
        <v>25</v>
      </c>
      <c r="Q80" s="7" t="s">
        <v>41</v>
      </c>
      <c r="R80" s="7"/>
    </row>
    <row r="81" customFormat="false" ht="15" hidden="false" customHeight="false" outlineLevel="0" collapsed="false">
      <c r="A81" s="6" t="n">
        <v>80</v>
      </c>
      <c r="B81" s="7" t="s">
        <v>175</v>
      </c>
      <c r="C81" s="6" t="s">
        <v>28</v>
      </c>
      <c r="D81" s="6" t="n">
        <v>2</v>
      </c>
      <c r="E81" s="8" t="n">
        <v>2600</v>
      </c>
      <c r="F81" s="7" t="s">
        <v>168</v>
      </c>
      <c r="G81" s="9" t="n">
        <v>3300</v>
      </c>
      <c r="H81" s="9" t="n">
        <v>4200</v>
      </c>
      <c r="I81" s="10" t="n">
        <f aca="false">IF(E81=0,0,(E81-H81)/E81)</f>
        <v>-0.615384615384615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4830</v>
      </c>
      <c r="L81" s="8" t="n">
        <f aca="false">D81*E81</f>
        <v>5200</v>
      </c>
      <c r="M81" s="8" t="n">
        <f aca="false">D81*K81</f>
        <v>9660</v>
      </c>
      <c r="N81" s="8" t="n">
        <f aca="false">D81*H81</f>
        <v>8400</v>
      </c>
      <c r="O81" s="6" t="str">
        <f aca="false">IF(ISNUMBER(SEARCH(C81,F81)),"","YES")</f>
        <v>YES</v>
      </c>
      <c r="P81" s="6" t="s">
        <v>25</v>
      </c>
      <c r="Q81" s="7" t="s">
        <v>41</v>
      </c>
      <c r="R81" s="7"/>
    </row>
    <row r="82" customFormat="false" ht="15" hidden="false" customHeight="false" outlineLevel="0" collapsed="false">
      <c r="A82" s="6" t="n">
        <v>81</v>
      </c>
      <c r="B82" s="7" t="s">
        <v>176</v>
      </c>
      <c r="C82" s="6" t="s">
        <v>28</v>
      </c>
      <c r="D82" s="6" t="n">
        <v>2</v>
      </c>
      <c r="E82" s="8" t="n">
        <v>2730</v>
      </c>
      <c r="F82" s="7" t="s">
        <v>168</v>
      </c>
      <c r="G82" s="9" t="n">
        <v>3500</v>
      </c>
      <c r="H82" s="9" t="n">
        <v>4400</v>
      </c>
      <c r="I82" s="10" t="n">
        <f aca="false">IF(E82=0,0,(E82-H82)/E82)</f>
        <v>-0.611721611721612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5060</v>
      </c>
      <c r="L82" s="8" t="n">
        <f aca="false">D82*E82</f>
        <v>5460</v>
      </c>
      <c r="M82" s="8" t="n">
        <f aca="false">D82*K82</f>
        <v>10120</v>
      </c>
      <c r="N82" s="8" t="n">
        <f aca="false">D82*H82</f>
        <v>8800</v>
      </c>
      <c r="O82" s="6" t="str">
        <f aca="false">IF(ISNUMBER(SEARCH(C82,F82)),"","YES")</f>
        <v>YES</v>
      </c>
      <c r="P82" s="6" t="s">
        <v>25</v>
      </c>
      <c r="Q82" s="7" t="s">
        <v>41</v>
      </c>
      <c r="R82" s="7"/>
    </row>
    <row r="83" customFormat="false" ht="15" hidden="false" customHeight="false" outlineLevel="0" collapsed="false">
      <c r="A83" s="6" t="n">
        <v>82</v>
      </c>
      <c r="B83" s="7" t="s">
        <v>177</v>
      </c>
      <c r="C83" s="6" t="s">
        <v>28</v>
      </c>
      <c r="D83" s="6" t="n">
        <v>2</v>
      </c>
      <c r="E83" s="8" t="n">
        <v>3250</v>
      </c>
      <c r="F83" s="7" t="s">
        <v>168</v>
      </c>
      <c r="G83" s="9" t="n">
        <v>4000</v>
      </c>
      <c r="H83" s="9" t="n">
        <v>5000</v>
      </c>
      <c r="I83" s="10" t="n">
        <f aca="false">IF(E83=0,0,(E83-H83)/E83)</f>
        <v>-0.538461538461538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5750</v>
      </c>
      <c r="L83" s="8" t="n">
        <f aca="false">D83*E83</f>
        <v>6500</v>
      </c>
      <c r="M83" s="8" t="n">
        <f aca="false">D83*K83</f>
        <v>11500</v>
      </c>
      <c r="N83" s="8" t="n">
        <f aca="false">D83*H83</f>
        <v>10000</v>
      </c>
      <c r="O83" s="6" t="str">
        <f aca="false">IF(ISNUMBER(SEARCH(C83,F83)),"","YES")</f>
        <v>YES</v>
      </c>
      <c r="P83" s="6" t="s">
        <v>25</v>
      </c>
      <c r="Q83" s="7" t="s">
        <v>41</v>
      </c>
      <c r="R83" s="7"/>
    </row>
    <row r="84" customFormat="false" ht="15" hidden="false" customHeight="false" outlineLevel="0" collapsed="false">
      <c r="A84" s="6" t="n">
        <v>83</v>
      </c>
      <c r="B84" s="7" t="s">
        <v>178</v>
      </c>
      <c r="C84" s="6" t="s">
        <v>28</v>
      </c>
      <c r="D84" s="6" t="n">
        <v>1</v>
      </c>
      <c r="E84" s="8" t="n">
        <v>4160</v>
      </c>
      <c r="F84" s="7" t="s">
        <v>168</v>
      </c>
      <c r="G84" s="9" t="n">
        <v>5000</v>
      </c>
      <c r="H84" s="9" t="n">
        <v>6500</v>
      </c>
      <c r="I84" s="10" t="n">
        <f aca="false">IF(E84=0,0,(E84-H84)/E84)</f>
        <v>-0.5625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7480</v>
      </c>
      <c r="L84" s="8" t="n">
        <f aca="false">D84*E84</f>
        <v>4160</v>
      </c>
      <c r="M84" s="8" t="n">
        <f aca="false">D84*K84</f>
        <v>7480</v>
      </c>
      <c r="N84" s="8" t="n">
        <f aca="false">D84*H84</f>
        <v>6500</v>
      </c>
      <c r="O84" s="6" t="str">
        <f aca="false">IF(ISNUMBER(SEARCH(C84,F84)),"","YES")</f>
        <v>YES</v>
      </c>
      <c r="P84" s="6" t="s">
        <v>25</v>
      </c>
      <c r="Q84" s="7" t="s">
        <v>41</v>
      </c>
      <c r="R84" s="7"/>
    </row>
    <row r="85" customFormat="false" ht="15" hidden="false" customHeight="false" outlineLevel="0" collapsed="false">
      <c r="A85" s="6" t="n">
        <v>84</v>
      </c>
      <c r="B85" s="7" t="s">
        <v>179</v>
      </c>
      <c r="C85" s="6" t="s">
        <v>28</v>
      </c>
      <c r="D85" s="6" t="n">
        <v>1</v>
      </c>
      <c r="E85" s="8" t="n">
        <v>5850</v>
      </c>
      <c r="F85" s="7" t="s">
        <v>168</v>
      </c>
      <c r="G85" s="9" t="n">
        <v>6500</v>
      </c>
      <c r="H85" s="9" t="n">
        <v>8500</v>
      </c>
      <c r="I85" s="10" t="n">
        <f aca="false">IF(E85=0,0,(E85-H85)/E85)</f>
        <v>-0.452991452991453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9780</v>
      </c>
      <c r="L85" s="8" t="n">
        <f aca="false">D85*E85</f>
        <v>5850</v>
      </c>
      <c r="M85" s="8" t="n">
        <f aca="false">D85*K85</f>
        <v>9780</v>
      </c>
      <c r="N85" s="8" t="n">
        <f aca="false">D85*H85</f>
        <v>8500</v>
      </c>
      <c r="O85" s="6" t="str">
        <f aca="false">IF(ISNUMBER(SEARCH(C85,F85)),"","YES")</f>
        <v>YES</v>
      </c>
      <c r="P85" s="6" t="s">
        <v>25</v>
      </c>
      <c r="Q85" s="7" t="s">
        <v>41</v>
      </c>
      <c r="R85" s="7"/>
    </row>
    <row r="86" customFormat="false" ht="15" hidden="false" customHeight="false" outlineLevel="0" collapsed="false">
      <c r="A86" s="6" t="n">
        <v>85</v>
      </c>
      <c r="B86" s="7" t="s">
        <v>180</v>
      </c>
      <c r="C86" s="6" t="s">
        <v>28</v>
      </c>
      <c r="D86" s="6" t="n">
        <v>1</v>
      </c>
      <c r="E86" s="8" t="n">
        <v>8450</v>
      </c>
      <c r="F86" s="7" t="s">
        <v>168</v>
      </c>
      <c r="G86" s="9" t="n">
        <v>9500</v>
      </c>
      <c r="H86" s="9" t="n">
        <v>12500</v>
      </c>
      <c r="I86" s="10" t="n">
        <f aca="false">IF(E86=0,0,(E86-H86)/E86)</f>
        <v>-0.479289940828402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14380</v>
      </c>
      <c r="L86" s="8" t="n">
        <f aca="false">D86*E86</f>
        <v>8450</v>
      </c>
      <c r="M86" s="8" t="n">
        <f aca="false">D86*K86</f>
        <v>14380</v>
      </c>
      <c r="N86" s="8" t="n">
        <f aca="false">D86*H86</f>
        <v>12500</v>
      </c>
      <c r="O86" s="6" t="str">
        <f aca="false">IF(ISNUMBER(SEARCH(C86,F86)),"","YES")</f>
        <v>YES</v>
      </c>
      <c r="P86" s="6" t="s">
        <v>25</v>
      </c>
      <c r="Q86" s="7" t="s">
        <v>41</v>
      </c>
      <c r="R86" s="7"/>
    </row>
    <row r="87" customFormat="false" ht="15" hidden="false" customHeight="false" outlineLevel="0" collapsed="false">
      <c r="A87" s="6" t="n">
        <v>86</v>
      </c>
      <c r="B87" s="7" t="s">
        <v>181</v>
      </c>
      <c r="C87" s="6" t="s">
        <v>28</v>
      </c>
      <c r="D87" s="6" t="n">
        <v>1</v>
      </c>
      <c r="E87" s="8" t="n">
        <v>9750</v>
      </c>
      <c r="F87" s="7" t="s">
        <v>168</v>
      </c>
      <c r="G87" s="9" t="n">
        <v>11000</v>
      </c>
      <c r="H87" s="9" t="n">
        <v>14500</v>
      </c>
      <c r="I87" s="10" t="n">
        <f aca="false">IF(E87=0,0,(E87-H87)/E87)</f>
        <v>-0.487179487179487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16680</v>
      </c>
      <c r="L87" s="8" t="n">
        <f aca="false">D87*E87</f>
        <v>9750</v>
      </c>
      <c r="M87" s="8" t="n">
        <f aca="false">D87*K87</f>
        <v>16680</v>
      </c>
      <c r="N87" s="8" t="n">
        <f aca="false">D87*H87</f>
        <v>14500</v>
      </c>
      <c r="O87" s="6" t="str">
        <f aca="false">IF(ISNUMBER(SEARCH(C87,F87)),"","YES")</f>
        <v>YES</v>
      </c>
      <c r="P87" s="6" t="s">
        <v>25</v>
      </c>
      <c r="Q87" s="7" t="s">
        <v>41</v>
      </c>
      <c r="R87" s="7"/>
    </row>
    <row r="88" customFormat="false" ht="15" hidden="false" customHeight="false" outlineLevel="0" collapsed="false">
      <c r="A88" s="6" t="n">
        <v>87</v>
      </c>
      <c r="B88" s="7" t="s">
        <v>182</v>
      </c>
      <c r="C88" s="6" t="s">
        <v>28</v>
      </c>
      <c r="D88" s="6" t="n">
        <v>1</v>
      </c>
      <c r="E88" s="8" t="n">
        <v>11700</v>
      </c>
      <c r="F88" s="7" t="s">
        <v>168</v>
      </c>
      <c r="G88" s="9" t="n">
        <v>13500</v>
      </c>
      <c r="H88" s="9" t="n">
        <v>17500</v>
      </c>
      <c r="I88" s="10" t="n">
        <f aca="false">IF(E88=0,0,(E88-H88)/E88)</f>
        <v>-0.495726495726496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20130</v>
      </c>
      <c r="L88" s="8" t="n">
        <f aca="false">D88*E88</f>
        <v>11700</v>
      </c>
      <c r="M88" s="8" t="n">
        <f aca="false">D88*K88</f>
        <v>20130</v>
      </c>
      <c r="N88" s="8" t="n">
        <f aca="false">D88*H88</f>
        <v>17500</v>
      </c>
      <c r="O88" s="6" t="str">
        <f aca="false">IF(ISNUMBER(SEARCH(C88,F88)),"","YES")</f>
        <v>YES</v>
      </c>
      <c r="P88" s="6" t="s">
        <v>25</v>
      </c>
      <c r="Q88" s="7" t="s">
        <v>41</v>
      </c>
      <c r="R88" s="7"/>
    </row>
    <row r="89" customFormat="false" ht="22.35" hidden="false" customHeight="false" outlineLevel="0" collapsed="false">
      <c r="A89" s="6" t="n">
        <v>88</v>
      </c>
      <c r="B89" s="7" t="s">
        <v>183</v>
      </c>
      <c r="C89" s="6" t="s">
        <v>28</v>
      </c>
      <c r="D89" s="6" t="n">
        <v>2</v>
      </c>
      <c r="E89" s="8" t="n">
        <v>4550</v>
      </c>
      <c r="F89" s="7" t="s">
        <v>157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25</v>
      </c>
      <c r="Q89" s="7" t="s">
        <v>41</v>
      </c>
      <c r="R89" s="7"/>
    </row>
    <row r="90" customFormat="false" ht="22.35" hidden="false" customHeight="false" outlineLevel="0" collapsed="false">
      <c r="A90" s="6" t="n">
        <v>89</v>
      </c>
      <c r="B90" s="7" t="s">
        <v>183</v>
      </c>
      <c r="C90" s="6" t="s">
        <v>28</v>
      </c>
      <c r="D90" s="6" t="n">
        <v>2</v>
      </c>
      <c r="E90" s="8" t="n">
        <v>5850</v>
      </c>
      <c r="F90" s="7" t="s">
        <v>157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25</v>
      </c>
      <c r="Q90" s="7" t="s">
        <v>41</v>
      </c>
      <c r="R90" s="7"/>
    </row>
    <row r="91" customFormat="false" ht="22.35" hidden="false" customHeight="false" outlineLevel="0" collapsed="false">
      <c r="A91" s="6" t="n">
        <v>90</v>
      </c>
      <c r="B91" s="7" t="s">
        <v>183</v>
      </c>
      <c r="C91" s="6" t="s">
        <v>28</v>
      </c>
      <c r="D91" s="6" t="n">
        <v>2</v>
      </c>
      <c r="E91" s="8" t="n">
        <v>7150</v>
      </c>
      <c r="F91" s="7" t="s">
        <v>157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25</v>
      </c>
      <c r="Q91" s="7" t="s">
        <v>41</v>
      </c>
      <c r="R91" s="7"/>
    </row>
    <row r="92" customFormat="false" ht="15" hidden="false" customHeight="false" outlineLevel="0" collapsed="false">
      <c r="A92" s="6" t="n">
        <v>91</v>
      </c>
      <c r="B92" s="7" t="s">
        <v>184</v>
      </c>
      <c r="C92" s="6" t="s">
        <v>28</v>
      </c>
      <c r="D92" s="6" t="n">
        <v>2</v>
      </c>
      <c r="E92" s="8" t="n">
        <v>2340</v>
      </c>
      <c r="F92" s="7" t="s">
        <v>157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25</v>
      </c>
      <c r="Q92" s="7" t="s">
        <v>41</v>
      </c>
      <c r="R92" s="7"/>
    </row>
    <row r="93" customFormat="false" ht="15" hidden="false" customHeight="false" outlineLevel="0" collapsed="false">
      <c r="A93" s="6" t="n">
        <v>92</v>
      </c>
      <c r="B93" s="7" t="s">
        <v>185</v>
      </c>
      <c r="C93" s="6" t="s">
        <v>28</v>
      </c>
      <c r="D93" s="6" t="n">
        <v>2</v>
      </c>
      <c r="E93" s="8" t="n">
        <v>2860</v>
      </c>
      <c r="F93" s="7" t="s">
        <v>157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25</v>
      </c>
      <c r="Q93" s="7" t="s">
        <v>41</v>
      </c>
      <c r="R93" s="7"/>
    </row>
    <row r="94" customFormat="false" ht="22.35" hidden="false" customHeight="false" outlineLevel="0" collapsed="false">
      <c r="A94" s="6" t="n">
        <v>93</v>
      </c>
      <c r="B94" s="7" t="s">
        <v>186</v>
      </c>
      <c r="C94" s="6" t="s">
        <v>161</v>
      </c>
      <c r="D94" s="6" t="n">
        <v>2</v>
      </c>
      <c r="E94" s="8" t="n">
        <v>25350</v>
      </c>
      <c r="F94" s="7" t="s">
        <v>187</v>
      </c>
      <c r="G94" s="9" t="n">
        <v>15800</v>
      </c>
      <c r="H94" s="9" t="n">
        <v>19500</v>
      </c>
      <c r="I94" s="10" t="n">
        <f aca="false">IF(E94=0,0,(E94-H94)/E94)</f>
        <v>0.230769230769231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39000</v>
      </c>
      <c r="O94" s="6" t="str">
        <f aca="false">IF(ISNUMBER(SEARCH(C94,F94)),"","YES")</f>
        <v/>
      </c>
      <c r="P94" s="6" t="s">
        <v>57</v>
      </c>
      <c r="Q94" s="7" t="s">
        <v>188</v>
      </c>
      <c r="R94" s="7"/>
    </row>
    <row r="95" customFormat="false" ht="15" hidden="false" customHeight="false" outlineLevel="0" collapsed="false">
      <c r="A95" s="6" t="n">
        <v>94</v>
      </c>
      <c r="B95" s="7" t="s">
        <v>189</v>
      </c>
      <c r="C95" s="6" t="s">
        <v>161</v>
      </c>
      <c r="D95" s="6" t="n">
        <v>3</v>
      </c>
      <c r="E95" s="8" t="n">
        <v>8138</v>
      </c>
      <c r="F95" s="7" t="s">
        <v>190</v>
      </c>
      <c r="G95" s="9" t="n">
        <v>15800</v>
      </c>
      <c r="H95" s="9" t="n">
        <v>18900</v>
      </c>
      <c r="I95" s="10" t="n">
        <f aca="false">IF(E95=0,0,(E95-H95)/E95)</f>
        <v>-1.32243794544114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21740</v>
      </c>
      <c r="L95" s="8" t="n">
        <f aca="false">D95*E95</f>
        <v>24414</v>
      </c>
      <c r="M95" s="8" t="n">
        <f aca="false">D95*K95</f>
        <v>65220</v>
      </c>
      <c r="N95" s="8" t="n">
        <f aca="false">D95*H95</f>
        <v>56700</v>
      </c>
      <c r="O95" s="6" t="str">
        <f aca="false">IF(ISNUMBER(SEARCH(C95,F95)),"","YES")</f>
        <v/>
      </c>
      <c r="P95" s="6" t="s">
        <v>57</v>
      </c>
      <c r="Q95" s="7" t="s">
        <v>191</v>
      </c>
      <c r="R95" s="7" t="s">
        <v>192</v>
      </c>
    </row>
    <row r="96" customFormat="false" ht="15" hidden="false" customHeight="false" outlineLevel="0" collapsed="false">
      <c r="A96" s="6" t="n">
        <v>95</v>
      </c>
      <c r="B96" s="7" t="s">
        <v>193</v>
      </c>
      <c r="C96" s="6" t="s">
        <v>161</v>
      </c>
      <c r="D96" s="6" t="n">
        <v>3</v>
      </c>
      <c r="E96" s="8" t="n">
        <v>6370</v>
      </c>
      <c r="F96" s="7" t="s">
        <v>194</v>
      </c>
      <c r="G96" s="9" t="n">
        <v>7928</v>
      </c>
      <c r="H96" s="9" t="n">
        <v>8800</v>
      </c>
      <c r="I96" s="10" t="n">
        <f aca="false">IF(E96=0,0,(E96-H96)/E96)</f>
        <v>-0.381475667189953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10120</v>
      </c>
      <c r="L96" s="8" t="n">
        <f aca="false">D96*E96</f>
        <v>19110</v>
      </c>
      <c r="M96" s="8" t="n">
        <f aca="false">D96*K96</f>
        <v>30360</v>
      </c>
      <c r="N96" s="8" t="n">
        <f aca="false">D96*H96</f>
        <v>26400</v>
      </c>
      <c r="O96" s="6" t="str">
        <f aca="false">IF(ISNUMBER(SEARCH(C96,F96)),"","YES")</f>
        <v/>
      </c>
      <c r="P96" s="6" t="s">
        <v>57</v>
      </c>
      <c r="Q96" s="7" t="s">
        <v>195</v>
      </c>
      <c r="R96" s="7"/>
    </row>
    <row r="97" customFormat="false" ht="22.35" hidden="false" customHeight="false" outlineLevel="0" collapsed="false">
      <c r="A97" s="6" t="n">
        <v>96</v>
      </c>
      <c r="B97" s="7" t="s">
        <v>196</v>
      </c>
      <c r="C97" s="6" t="s">
        <v>28</v>
      </c>
      <c r="D97" s="6" t="n">
        <v>2</v>
      </c>
      <c r="E97" s="8" t="n">
        <v>14950</v>
      </c>
      <c r="F97" s="7" t="s">
        <v>161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25</v>
      </c>
      <c r="Q97" s="7" t="s">
        <v>41</v>
      </c>
      <c r="R97" s="7" t="s">
        <v>197</v>
      </c>
    </row>
    <row r="98" customFormat="false" ht="15" hidden="false" customHeight="false" outlineLevel="0" collapsed="false">
      <c r="A98" s="6" t="n">
        <v>97</v>
      </c>
      <c r="B98" s="7" t="s">
        <v>198</v>
      </c>
      <c r="C98" s="6" t="s">
        <v>106</v>
      </c>
      <c r="D98" s="6" t="n">
        <v>2</v>
      </c>
      <c r="E98" s="8" t="n">
        <v>286000</v>
      </c>
      <c r="F98" s="7" t="s">
        <v>199</v>
      </c>
      <c r="G98" s="9" t="n">
        <v>110000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>YES</v>
      </c>
      <c r="P98" s="6" t="s">
        <v>45</v>
      </c>
      <c r="Q98" s="7" t="s">
        <v>200</v>
      </c>
      <c r="R98" s="7" t="s">
        <v>201</v>
      </c>
    </row>
    <row r="99" customFormat="false" ht="15" hidden="false" customHeight="false" outlineLevel="0" collapsed="false">
      <c r="A99" s="6" t="n">
        <v>98</v>
      </c>
      <c r="B99" s="7" t="s">
        <v>202</v>
      </c>
      <c r="C99" s="6" t="s">
        <v>203</v>
      </c>
      <c r="D99" s="6" t="n">
        <v>1</v>
      </c>
      <c r="E99" s="8" t="n">
        <v>15600</v>
      </c>
      <c r="F99" s="7" t="s">
        <v>203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25</v>
      </c>
      <c r="Q99" s="7" t="s">
        <v>41</v>
      </c>
      <c r="R99" s="7"/>
    </row>
    <row r="100" customFormat="false" ht="15" hidden="false" customHeight="false" outlineLevel="0" collapsed="false">
      <c r="A100" s="6" t="n">
        <v>99</v>
      </c>
      <c r="B100" s="7" t="s">
        <v>204</v>
      </c>
      <c r="C100" s="6" t="s">
        <v>28</v>
      </c>
      <c r="D100" s="6" t="n">
        <v>1</v>
      </c>
      <c r="E100" s="8" t="n">
        <v>11050</v>
      </c>
      <c r="F100" s="7" t="s">
        <v>205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25</v>
      </c>
      <c r="Q100" s="7" t="s">
        <v>41</v>
      </c>
      <c r="R100" s="7" t="s">
        <v>206</v>
      </c>
    </row>
    <row r="101" customFormat="false" ht="15" hidden="false" customHeight="false" outlineLevel="0" collapsed="false">
      <c r="A101" s="6" t="n">
        <v>100</v>
      </c>
      <c r="B101" s="7" t="s">
        <v>207</v>
      </c>
      <c r="C101" s="6" t="s">
        <v>28</v>
      </c>
      <c r="D101" s="6" t="n">
        <v>1</v>
      </c>
      <c r="E101" s="8" t="n">
        <v>9100</v>
      </c>
      <c r="F101" s="7" t="s">
        <v>205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25</v>
      </c>
      <c r="Q101" s="7" t="s">
        <v>41</v>
      </c>
      <c r="R101" s="7"/>
    </row>
    <row r="102" customFormat="false" ht="15" hidden="false" customHeight="false" outlineLevel="0" collapsed="false">
      <c r="A102" s="6" t="n">
        <v>101</v>
      </c>
      <c r="B102" s="7" t="s">
        <v>208</v>
      </c>
      <c r="C102" s="6" t="s">
        <v>28</v>
      </c>
      <c r="D102" s="6" t="n">
        <v>3</v>
      </c>
      <c r="E102" s="8" t="n">
        <v>7150</v>
      </c>
      <c r="F102" s="7" t="s">
        <v>205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25</v>
      </c>
      <c r="Q102" s="7" t="s">
        <v>41</v>
      </c>
      <c r="R102" s="7"/>
    </row>
    <row r="103" customFormat="false" ht="15" hidden="false" customHeight="false" outlineLevel="0" collapsed="false">
      <c r="A103" s="6" t="n">
        <v>102</v>
      </c>
      <c r="B103" s="7" t="s">
        <v>209</v>
      </c>
      <c r="C103" s="6" t="s">
        <v>28</v>
      </c>
      <c r="D103" s="6" t="n">
        <v>3</v>
      </c>
      <c r="E103" s="8" t="n">
        <v>5850</v>
      </c>
      <c r="F103" s="7" t="s">
        <v>205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25</v>
      </c>
      <c r="Q103" s="7" t="s">
        <v>41</v>
      </c>
      <c r="R103" s="7"/>
    </row>
    <row r="104" customFormat="false" ht="15" hidden="false" customHeight="false" outlineLevel="0" collapsed="false">
      <c r="A104" s="6" t="n">
        <v>103</v>
      </c>
      <c r="B104" s="7" t="s">
        <v>210</v>
      </c>
      <c r="C104" s="6" t="s">
        <v>23</v>
      </c>
      <c r="D104" s="6" t="n">
        <v>12</v>
      </c>
      <c r="E104" s="8" t="n">
        <v>715</v>
      </c>
      <c r="F104" s="7" t="s">
        <v>23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25</v>
      </c>
      <c r="Q104" s="7" t="s">
        <v>41</v>
      </c>
      <c r="R104" s="7"/>
    </row>
    <row r="105" customFormat="false" ht="15" hidden="false" customHeight="false" outlineLevel="0" collapsed="false">
      <c r="A105" s="6" t="n">
        <v>104</v>
      </c>
      <c r="B105" s="7" t="s">
        <v>211</v>
      </c>
      <c r="C105" s="6" t="s">
        <v>23</v>
      </c>
      <c r="D105" s="6" t="n">
        <v>4</v>
      </c>
      <c r="E105" s="8" t="n">
        <v>1274</v>
      </c>
      <c r="F105" s="7" t="s">
        <v>23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25</v>
      </c>
      <c r="Q105" s="7" t="s">
        <v>41</v>
      </c>
      <c r="R105" s="7"/>
    </row>
    <row r="106" customFormat="false" ht="15" hidden="false" customHeight="false" outlineLevel="0" collapsed="false">
      <c r="A106" s="6" t="n">
        <v>105</v>
      </c>
      <c r="B106" s="7" t="s">
        <v>212</v>
      </c>
      <c r="C106" s="6" t="s">
        <v>23</v>
      </c>
      <c r="D106" s="6" t="n">
        <v>12</v>
      </c>
      <c r="E106" s="8" t="n">
        <v>1170</v>
      </c>
      <c r="F106" s="7" t="s">
        <v>23</v>
      </c>
      <c r="G106" s="9" t="n">
        <v>600</v>
      </c>
      <c r="H106" s="9" t="n">
        <v>900</v>
      </c>
      <c r="I106" s="10" t="n">
        <f aca="false">IF(E106=0,0,(E106-H106)/E106)</f>
        <v>0.230769230769231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10800</v>
      </c>
      <c r="O106" s="6" t="str">
        <f aca="false">IF(ISNUMBER(SEARCH(C106,F106)),"","YES")</f>
        <v/>
      </c>
      <c r="P106" s="6" t="s">
        <v>25</v>
      </c>
      <c r="Q106" s="7" t="s">
        <v>41</v>
      </c>
      <c r="R106" s="7"/>
    </row>
    <row r="107" customFormat="false" ht="15" hidden="false" customHeight="false" outlineLevel="0" collapsed="false">
      <c r="A107" s="6" t="n">
        <v>106</v>
      </c>
      <c r="B107" s="7" t="s">
        <v>213</v>
      </c>
      <c r="C107" s="6" t="s">
        <v>28</v>
      </c>
      <c r="D107" s="6" t="n">
        <v>6</v>
      </c>
      <c r="E107" s="8" t="n">
        <v>3640</v>
      </c>
      <c r="F107" s="7" t="s">
        <v>37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25</v>
      </c>
      <c r="Q107" s="7" t="s">
        <v>41</v>
      </c>
      <c r="R107" s="7"/>
    </row>
    <row r="108" customFormat="false" ht="15" hidden="false" customHeight="false" outlineLevel="0" collapsed="false">
      <c r="A108" s="6" t="n">
        <v>107</v>
      </c>
      <c r="B108" s="7" t="s">
        <v>214</v>
      </c>
      <c r="C108" s="6" t="s">
        <v>28</v>
      </c>
      <c r="D108" s="6" t="n">
        <v>6</v>
      </c>
      <c r="E108" s="8" t="n">
        <v>6760</v>
      </c>
      <c r="F108" s="7" t="s">
        <v>37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25</v>
      </c>
      <c r="Q108" s="7" t="s">
        <v>41</v>
      </c>
      <c r="R108" s="7"/>
    </row>
    <row r="109" customFormat="false" ht="15" hidden="false" customHeight="false" outlineLevel="0" collapsed="false">
      <c r="A109" s="6" t="n">
        <v>108</v>
      </c>
      <c r="B109" s="7" t="s">
        <v>215</v>
      </c>
      <c r="C109" s="6" t="s">
        <v>28</v>
      </c>
      <c r="D109" s="6" t="n">
        <v>3</v>
      </c>
      <c r="E109" s="8" t="n">
        <v>4550</v>
      </c>
      <c r="F109" s="7" t="s">
        <v>37</v>
      </c>
      <c r="G109" s="9" t="n">
        <v>3500</v>
      </c>
      <c r="H109" s="9" t="n">
        <v>5000</v>
      </c>
      <c r="I109" s="10" t="n">
        <f aca="false">IF(E109=0,0,(E109-H109)/E109)</f>
        <v>-0.0989010989010989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5750</v>
      </c>
      <c r="L109" s="8" t="n">
        <f aca="false">D109*E109</f>
        <v>13650</v>
      </c>
      <c r="M109" s="8" t="n">
        <f aca="false">D109*K109</f>
        <v>17250</v>
      </c>
      <c r="N109" s="8" t="n">
        <f aca="false">D109*H109</f>
        <v>15000</v>
      </c>
      <c r="O109" s="6" t="str">
        <f aca="false">IF(ISNUMBER(SEARCH(C109,F109)),"","YES")</f>
        <v>YES</v>
      </c>
      <c r="P109" s="6" t="s">
        <v>25</v>
      </c>
      <c r="Q109" s="7" t="s">
        <v>41</v>
      </c>
      <c r="R109" s="7"/>
    </row>
    <row r="110" customFormat="false" ht="15" hidden="false" customHeight="false" outlineLevel="0" collapsed="false">
      <c r="A110" s="6" t="n">
        <v>109</v>
      </c>
      <c r="B110" s="7" t="s">
        <v>216</v>
      </c>
      <c r="C110" s="6" t="s">
        <v>28</v>
      </c>
      <c r="D110" s="6" t="n">
        <v>6</v>
      </c>
      <c r="E110" s="8" t="n">
        <v>2340</v>
      </c>
      <c r="F110" s="7" t="s">
        <v>37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25</v>
      </c>
      <c r="Q110" s="7" t="s">
        <v>41</v>
      </c>
      <c r="R110" s="7"/>
    </row>
    <row r="111" customFormat="false" ht="15" hidden="false" customHeight="false" outlineLevel="0" collapsed="false">
      <c r="A111" s="6" t="n">
        <v>110</v>
      </c>
      <c r="B111" s="7" t="s">
        <v>217</v>
      </c>
      <c r="C111" s="6" t="s">
        <v>28</v>
      </c>
      <c r="D111" s="6" t="n">
        <v>3</v>
      </c>
      <c r="E111" s="8" t="n">
        <v>1820</v>
      </c>
      <c r="F111" s="7" t="s">
        <v>161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25</v>
      </c>
      <c r="Q111" s="7" t="s">
        <v>41</v>
      </c>
      <c r="R111" s="7"/>
    </row>
    <row r="112" customFormat="false" ht="15" hidden="false" customHeight="false" outlineLevel="0" collapsed="false">
      <c r="A112" s="6" t="n">
        <v>111</v>
      </c>
      <c r="B112" s="7" t="s">
        <v>218</v>
      </c>
      <c r="C112" s="6" t="s">
        <v>28</v>
      </c>
      <c r="D112" s="6" t="n">
        <v>3</v>
      </c>
      <c r="E112" s="8" t="n">
        <v>2860</v>
      </c>
      <c r="F112" s="7" t="s">
        <v>161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25</v>
      </c>
      <c r="Q112" s="7" t="s">
        <v>41</v>
      </c>
      <c r="R112" s="7"/>
    </row>
    <row r="113" customFormat="false" ht="15" hidden="false" customHeight="false" outlineLevel="0" collapsed="false">
      <c r="A113" s="6" t="n">
        <v>112</v>
      </c>
      <c r="B113" s="7" t="s">
        <v>219</v>
      </c>
      <c r="C113" s="6" t="s">
        <v>28</v>
      </c>
      <c r="D113" s="6" t="n">
        <v>2</v>
      </c>
      <c r="E113" s="8" t="n">
        <v>12350</v>
      </c>
      <c r="F113" s="7" t="s">
        <v>220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25</v>
      </c>
      <c r="Q113" s="7" t="s">
        <v>41</v>
      </c>
      <c r="R113" s="7" t="s">
        <v>221</v>
      </c>
    </row>
    <row r="114" customFormat="false" ht="15" hidden="false" customHeight="false" outlineLevel="0" collapsed="false">
      <c r="A114" s="6" t="n">
        <v>113</v>
      </c>
      <c r="B114" s="7" t="s">
        <v>222</v>
      </c>
      <c r="C114" s="6" t="s">
        <v>28</v>
      </c>
      <c r="D114" s="6" t="n">
        <v>3</v>
      </c>
      <c r="E114" s="8" t="n">
        <v>1560</v>
      </c>
      <c r="F114" s="7" t="s">
        <v>23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25</v>
      </c>
      <c r="Q114" s="7" t="s">
        <v>41</v>
      </c>
      <c r="R114" s="7"/>
    </row>
    <row r="115" customFormat="false" ht="15" hidden="false" customHeight="false" outlineLevel="0" collapsed="false">
      <c r="A115" s="6" t="n">
        <v>114</v>
      </c>
      <c r="B115" s="7" t="s">
        <v>223</v>
      </c>
      <c r="C115" s="6" t="s">
        <v>28</v>
      </c>
      <c r="D115" s="6" t="n">
        <v>3</v>
      </c>
      <c r="E115" s="8" t="n">
        <v>1950</v>
      </c>
      <c r="F115" s="7" t="s">
        <v>23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25</v>
      </c>
      <c r="Q115" s="7" t="s">
        <v>41</v>
      </c>
      <c r="R115" s="7"/>
    </row>
    <row r="116" customFormat="false" ht="15" hidden="false" customHeight="false" outlineLevel="0" collapsed="false">
      <c r="A116" s="6" t="n">
        <v>115</v>
      </c>
      <c r="B116" s="7" t="s">
        <v>224</v>
      </c>
      <c r="C116" s="6" t="s">
        <v>23</v>
      </c>
      <c r="D116" s="6" t="n">
        <v>2</v>
      </c>
      <c r="E116" s="8" t="n">
        <v>11050</v>
      </c>
      <c r="F116" s="7" t="s">
        <v>23</v>
      </c>
      <c r="G116" s="9" t="n">
        <v>6500</v>
      </c>
      <c r="H116" s="9" t="n">
        <v>9000</v>
      </c>
      <c r="I116" s="10" t="n">
        <f aca="false">IF(E116=0,0,(E116-H116)/E116)</f>
        <v>0.18552036199095</v>
      </c>
      <c r="J116" s="6" t="str">
        <f aca="false">IF(E116&lt;G116,"LOSS",IF(E116&lt;H116*1.1,"THIN / RISK",IF(E116&gt;H116*1.8,"OVERPRICED?","OK")))</f>
        <v>OK</v>
      </c>
      <c r="K116" s="8" t="n">
        <f aca="false">IF(J116="OVERPRICED?",ROUND(H116*1.35,-1),MAX(E116,ROUND(H116*(1+$E$3),-1)))</f>
        <v>11050</v>
      </c>
      <c r="L116" s="8" t="n">
        <f aca="false">D116*E116</f>
        <v>22100</v>
      </c>
      <c r="M116" s="8" t="n">
        <f aca="false">D116*K116</f>
        <v>22100</v>
      </c>
      <c r="N116" s="8" t="n">
        <f aca="false">D116*H116</f>
        <v>18000</v>
      </c>
      <c r="O116" s="6" t="str">
        <f aca="false">IF(ISNUMBER(SEARCH(C116,F116)),"","YES")</f>
        <v/>
      </c>
      <c r="P116" s="6" t="s">
        <v>25</v>
      </c>
      <c r="Q116" s="7" t="s">
        <v>41</v>
      </c>
      <c r="R116" s="7"/>
    </row>
    <row r="117" customFormat="false" ht="15" hidden="false" customHeight="false" outlineLevel="0" collapsed="false">
      <c r="A117" s="6" t="n">
        <v>116</v>
      </c>
      <c r="B117" s="7" t="s">
        <v>225</v>
      </c>
      <c r="C117" s="6" t="s">
        <v>28</v>
      </c>
      <c r="D117" s="6" t="n">
        <v>2</v>
      </c>
      <c r="E117" s="8" t="n">
        <v>11050</v>
      </c>
      <c r="F117" s="7" t="s">
        <v>23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25</v>
      </c>
      <c r="Q117" s="7" t="s">
        <v>41</v>
      </c>
      <c r="R117" s="7"/>
    </row>
    <row r="118" customFormat="false" ht="15" hidden="false" customHeight="false" outlineLevel="0" collapsed="false">
      <c r="A118" s="6" t="n">
        <v>117</v>
      </c>
      <c r="B118" s="7" t="s">
        <v>226</v>
      </c>
      <c r="C118" s="6" t="s">
        <v>23</v>
      </c>
      <c r="D118" s="6" t="n">
        <v>15</v>
      </c>
      <c r="E118" s="8" t="n">
        <v>585</v>
      </c>
      <c r="F118" s="7" t="s">
        <v>23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25</v>
      </c>
      <c r="Q118" s="7" t="s">
        <v>227</v>
      </c>
      <c r="R118" s="7"/>
    </row>
    <row r="119" customFormat="false" ht="15" hidden="false" customHeight="false" outlineLevel="0" collapsed="false">
      <c r="A119" s="6" t="n">
        <v>118</v>
      </c>
      <c r="B119" s="7" t="s">
        <v>228</v>
      </c>
      <c r="C119" s="6" t="s">
        <v>23</v>
      </c>
      <c r="D119" s="6" t="n">
        <v>15</v>
      </c>
      <c r="E119" s="8" t="n">
        <v>585</v>
      </c>
      <c r="F119" s="7" t="s">
        <v>23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25</v>
      </c>
      <c r="Q119" s="7" t="s">
        <v>227</v>
      </c>
      <c r="R119" s="7"/>
    </row>
    <row r="120" customFormat="false" ht="15" hidden="false" customHeight="false" outlineLevel="0" collapsed="false">
      <c r="A120" s="6" t="n">
        <v>119</v>
      </c>
      <c r="B120" s="7" t="s">
        <v>229</v>
      </c>
      <c r="C120" s="6" t="s">
        <v>28</v>
      </c>
      <c r="D120" s="6" t="n">
        <v>2</v>
      </c>
      <c r="E120" s="8" t="n">
        <v>910</v>
      </c>
      <c r="F120" s="7" t="s">
        <v>23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25</v>
      </c>
      <c r="Q120" s="7" t="s">
        <v>41</v>
      </c>
      <c r="R120" s="7"/>
    </row>
    <row r="121" customFormat="false" ht="15" hidden="false" customHeight="false" outlineLevel="0" collapsed="false">
      <c r="A121" s="6" t="n">
        <v>120</v>
      </c>
      <c r="B121" s="7" t="s">
        <v>230</v>
      </c>
      <c r="C121" s="6" t="s">
        <v>23</v>
      </c>
      <c r="D121" s="6" t="n">
        <v>6</v>
      </c>
      <c r="E121" s="8" t="n">
        <v>910</v>
      </c>
      <c r="F121" s="7" t="s">
        <v>23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25</v>
      </c>
      <c r="Q121" s="7" t="s">
        <v>41</v>
      </c>
      <c r="R121" s="7"/>
    </row>
    <row r="122" customFormat="false" ht="15" hidden="false" customHeight="false" outlineLevel="0" collapsed="false">
      <c r="A122" s="6" t="n">
        <v>121</v>
      </c>
      <c r="B122" s="7" t="s">
        <v>231</v>
      </c>
      <c r="C122" s="6" t="s">
        <v>23</v>
      </c>
      <c r="D122" s="6" t="n">
        <v>6</v>
      </c>
      <c r="E122" s="8" t="n">
        <v>637</v>
      </c>
      <c r="F122" s="7" t="s">
        <v>23</v>
      </c>
      <c r="G122" s="9" t="n">
        <v>300</v>
      </c>
      <c r="H122" s="9" t="n">
        <v>450</v>
      </c>
      <c r="I122" s="10" t="n">
        <f aca="false">IF(E122=0,0,(E122-H122)/E122)</f>
        <v>0.293563579277865</v>
      </c>
      <c r="J122" s="6" t="str">
        <f aca="false">IF(E122&lt;G122,"LOSS",IF(E122&lt;H122*1.1,"THIN / RISK",IF(E122&gt;H122*1.8,"OVERPRICED?","OK")))</f>
        <v>OK</v>
      </c>
      <c r="K122" s="8" t="n">
        <f aca="false">IF(J122="OVERPRICED?",ROUND(H122*1.35,-1),MAX(E122,ROUND(H122*(1+$E$3),-1)))</f>
        <v>637</v>
      </c>
      <c r="L122" s="8" t="n">
        <f aca="false">D122*E122</f>
        <v>3822</v>
      </c>
      <c r="M122" s="8" t="n">
        <f aca="false">D122*K122</f>
        <v>3822</v>
      </c>
      <c r="N122" s="8" t="n">
        <f aca="false">D122*H122</f>
        <v>2700</v>
      </c>
      <c r="O122" s="6" t="str">
        <f aca="false">IF(ISNUMBER(SEARCH(C122,F122)),"","YES")</f>
        <v/>
      </c>
      <c r="P122" s="6" t="s">
        <v>25</v>
      </c>
      <c r="Q122" s="7" t="s">
        <v>41</v>
      </c>
      <c r="R122" s="7"/>
    </row>
    <row r="123" customFormat="false" ht="15" hidden="false" customHeight="false" outlineLevel="0" collapsed="false">
      <c r="A123" s="6" t="n">
        <v>122</v>
      </c>
      <c r="B123" s="7" t="s">
        <v>232</v>
      </c>
      <c r="C123" s="6" t="s">
        <v>23</v>
      </c>
      <c r="D123" s="6" t="n">
        <v>1</v>
      </c>
      <c r="E123" s="8" t="n">
        <v>357500</v>
      </c>
      <c r="F123" s="7" t="s">
        <v>233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25</v>
      </c>
      <c r="Q123" s="7" t="s">
        <v>234</v>
      </c>
      <c r="R123" s="7" t="s">
        <v>235</v>
      </c>
    </row>
    <row r="124" customFormat="false" ht="15" hidden="false" customHeight="false" outlineLevel="0" collapsed="false">
      <c r="A124" s="6" t="n">
        <v>123</v>
      </c>
      <c r="B124" s="7" t="s">
        <v>236</v>
      </c>
      <c r="C124" s="6" t="s">
        <v>23</v>
      </c>
      <c r="D124" s="6" t="n">
        <v>2</v>
      </c>
      <c r="E124" s="8" t="n">
        <v>23400</v>
      </c>
      <c r="F124" s="7" t="s">
        <v>23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25</v>
      </c>
      <c r="Q124" s="7" t="s">
        <v>41</v>
      </c>
      <c r="R124" s="7"/>
    </row>
    <row r="125" customFormat="false" ht="15" hidden="false" customHeight="false" outlineLevel="0" collapsed="false">
      <c r="A125" s="6" t="n">
        <v>124</v>
      </c>
      <c r="B125" s="7" t="s">
        <v>237</v>
      </c>
      <c r="C125" s="6" t="s">
        <v>23</v>
      </c>
      <c r="D125" s="6" t="n">
        <v>2</v>
      </c>
      <c r="E125" s="8" t="n">
        <v>4550</v>
      </c>
      <c r="F125" s="7" t="s">
        <v>23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25</v>
      </c>
      <c r="Q125" s="7" t="s">
        <v>41</v>
      </c>
      <c r="R125" s="7"/>
    </row>
    <row r="126" customFormat="false" ht="15" hidden="false" customHeight="false" outlineLevel="0" collapsed="false">
      <c r="A126" s="6" t="n">
        <v>125</v>
      </c>
      <c r="B126" s="7" t="s">
        <v>238</v>
      </c>
      <c r="C126" s="6" t="s">
        <v>23</v>
      </c>
      <c r="D126" s="6" t="n">
        <v>12</v>
      </c>
      <c r="E126" s="8" t="n">
        <v>585</v>
      </c>
      <c r="F126" s="7" t="s">
        <v>23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25</v>
      </c>
      <c r="Q126" s="7" t="s">
        <v>41</v>
      </c>
      <c r="R126" s="7"/>
    </row>
    <row r="127" customFormat="false" ht="15" hidden="false" customHeight="false" outlineLevel="0" collapsed="false">
      <c r="A127" s="6" t="n">
        <v>126</v>
      </c>
      <c r="B127" s="7" t="s">
        <v>239</v>
      </c>
      <c r="C127" s="6" t="s">
        <v>23</v>
      </c>
      <c r="D127" s="6" t="n">
        <v>12</v>
      </c>
      <c r="E127" s="8" t="n">
        <v>780</v>
      </c>
      <c r="F127" s="7" t="s">
        <v>23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25</v>
      </c>
      <c r="Q127" s="7" t="s">
        <v>41</v>
      </c>
      <c r="R127" s="7"/>
    </row>
    <row r="128" customFormat="false" ht="15" hidden="false" customHeight="false" outlineLevel="0" collapsed="false">
      <c r="A128" s="6" t="n">
        <v>127</v>
      </c>
      <c r="B128" s="7" t="s">
        <v>240</v>
      </c>
      <c r="C128" s="6" t="s">
        <v>23</v>
      </c>
      <c r="D128" s="6" t="n">
        <v>6</v>
      </c>
      <c r="E128" s="8" t="n">
        <v>455</v>
      </c>
      <c r="F128" s="7" t="s">
        <v>23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25</v>
      </c>
      <c r="Q128" s="7" t="s">
        <v>41</v>
      </c>
      <c r="R128" s="7"/>
    </row>
    <row r="129" customFormat="false" ht="15" hidden="false" customHeight="false" outlineLevel="0" collapsed="false">
      <c r="A129" s="6" t="n">
        <v>128</v>
      </c>
      <c r="B129" s="7" t="s">
        <v>241</v>
      </c>
      <c r="C129" s="6" t="s">
        <v>23</v>
      </c>
      <c r="D129" s="6" t="n">
        <v>6</v>
      </c>
      <c r="E129" s="8" t="n">
        <v>455</v>
      </c>
      <c r="F129" s="7" t="s">
        <v>23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25</v>
      </c>
      <c r="Q129" s="7" t="s">
        <v>41</v>
      </c>
      <c r="R129" s="7"/>
    </row>
    <row r="130" customFormat="false" ht="15" hidden="false" customHeight="false" outlineLevel="0" collapsed="false">
      <c r="A130" s="6" t="n">
        <v>129</v>
      </c>
      <c r="B130" s="7" t="s">
        <v>242</v>
      </c>
      <c r="C130" s="6" t="s">
        <v>23</v>
      </c>
      <c r="D130" s="6" t="n">
        <v>6</v>
      </c>
      <c r="E130" s="8" t="n">
        <v>455</v>
      </c>
      <c r="F130" s="7" t="s">
        <v>23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25</v>
      </c>
      <c r="Q130" s="7" t="s">
        <v>41</v>
      </c>
      <c r="R130" s="7"/>
    </row>
    <row r="131" customFormat="false" ht="15" hidden="false" customHeight="false" outlineLevel="0" collapsed="false">
      <c r="A131" s="6" t="n">
        <v>130</v>
      </c>
      <c r="B131" s="7" t="s">
        <v>243</v>
      </c>
      <c r="C131" s="6" t="s">
        <v>23</v>
      </c>
      <c r="D131" s="6" t="n">
        <v>6</v>
      </c>
      <c r="E131" s="8" t="n">
        <v>2340</v>
      </c>
      <c r="F131" s="7" t="s">
        <v>23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25</v>
      </c>
      <c r="Q131" s="7" t="s">
        <v>244</v>
      </c>
      <c r="R131" s="7"/>
    </row>
    <row r="132" customFormat="false" ht="15" hidden="false" customHeight="false" outlineLevel="0" collapsed="false">
      <c r="A132" s="6" t="n">
        <v>131</v>
      </c>
      <c r="B132" s="7" t="s">
        <v>245</v>
      </c>
      <c r="C132" s="6" t="s">
        <v>23</v>
      </c>
      <c r="D132" s="6" t="n">
        <v>2</v>
      </c>
      <c r="E132" s="8" t="n">
        <v>7800</v>
      </c>
      <c r="F132" s="7" t="s">
        <v>23</v>
      </c>
      <c r="G132" s="9" t="n">
        <v>5000</v>
      </c>
      <c r="H132" s="9" t="n">
        <v>7000</v>
      </c>
      <c r="I132" s="10" t="n">
        <f aca="false">IF(E132=0,0,(E132-H132)/E132)</f>
        <v>0.102564102564103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8050</v>
      </c>
      <c r="L132" s="8" t="n">
        <f aca="false">D132*E132</f>
        <v>15600</v>
      </c>
      <c r="M132" s="8" t="n">
        <f aca="false">D132*K132</f>
        <v>16100</v>
      </c>
      <c r="N132" s="8" t="n">
        <f aca="false">D132*H132</f>
        <v>14000</v>
      </c>
      <c r="O132" s="6" t="str">
        <f aca="false">IF(ISNUMBER(SEARCH(C132,F132)),"","YES")</f>
        <v/>
      </c>
      <c r="P132" s="6" t="s">
        <v>25</v>
      </c>
      <c r="Q132" s="7" t="s">
        <v>41</v>
      </c>
      <c r="R132" s="7"/>
    </row>
    <row r="133" customFormat="false" ht="15" hidden="false" customHeight="false" outlineLevel="0" collapsed="false">
      <c r="A133" s="6" t="n">
        <v>132</v>
      </c>
      <c r="B133" s="7" t="s">
        <v>246</v>
      </c>
      <c r="C133" s="6" t="s">
        <v>23</v>
      </c>
      <c r="D133" s="6" t="n">
        <v>10</v>
      </c>
      <c r="E133" s="8" t="n">
        <v>455</v>
      </c>
      <c r="F133" s="7" t="s">
        <v>23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25</v>
      </c>
      <c r="Q133" s="7" t="s">
        <v>227</v>
      </c>
      <c r="R133" s="7"/>
    </row>
    <row r="134" customFormat="false" ht="15" hidden="false" customHeight="false" outlineLevel="0" collapsed="false">
      <c r="A134" s="6" t="n">
        <v>133</v>
      </c>
      <c r="B134" s="7" t="s">
        <v>247</v>
      </c>
      <c r="C134" s="6" t="s">
        <v>28</v>
      </c>
      <c r="D134" s="6" t="n">
        <v>6</v>
      </c>
      <c r="E134" s="8" t="n">
        <v>650</v>
      </c>
      <c r="F134" s="7" t="s">
        <v>23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25</v>
      </c>
      <c r="Q134" s="7" t="s">
        <v>41</v>
      </c>
      <c r="R134" s="7"/>
    </row>
    <row r="135" customFormat="false" ht="15" hidden="false" customHeight="false" outlineLevel="0" collapsed="false">
      <c r="A135" s="6" t="n">
        <v>134</v>
      </c>
      <c r="B135" s="7" t="s">
        <v>248</v>
      </c>
      <c r="C135" s="6" t="s">
        <v>23</v>
      </c>
      <c r="D135" s="6" t="n">
        <v>6</v>
      </c>
      <c r="E135" s="8" t="n">
        <v>1040</v>
      </c>
      <c r="F135" s="7" t="s">
        <v>23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25</v>
      </c>
      <c r="Q135" s="7" t="s">
        <v>41</v>
      </c>
      <c r="R135" s="7"/>
    </row>
    <row r="136" customFormat="false" ht="15" hidden="false" customHeight="false" outlineLevel="0" collapsed="false">
      <c r="A136" s="6" t="n">
        <v>135</v>
      </c>
      <c r="B136" s="7" t="s">
        <v>249</v>
      </c>
      <c r="C136" s="6" t="s">
        <v>23</v>
      </c>
      <c r="D136" s="6" t="n">
        <v>6</v>
      </c>
      <c r="E136" s="8" t="n">
        <v>2860</v>
      </c>
      <c r="F136" s="7" t="s">
        <v>23</v>
      </c>
      <c r="G136" s="9" t="n">
        <v>1800</v>
      </c>
      <c r="H136" s="9" t="n">
        <v>2500</v>
      </c>
      <c r="I136" s="10" t="n">
        <f aca="false">IF(E136=0,0,(E136-H136)/E136)</f>
        <v>0.125874125874126</v>
      </c>
      <c r="J136" s="6" t="str">
        <f aca="false">IF(E136&lt;G136,"LOSS",IF(E136&lt;H136*1.1,"THIN / RISK",IF(E136&gt;H136*1.8,"OVERPRICED?","OK")))</f>
        <v>OK</v>
      </c>
      <c r="K136" s="8" t="n">
        <f aca="false">IF(J136="OVERPRICED?",ROUND(H136*1.35,-1),MAX(E136,ROUND(H136*(1+$E$3),-1)))</f>
        <v>2880</v>
      </c>
      <c r="L136" s="8" t="n">
        <f aca="false">D136*E136</f>
        <v>17160</v>
      </c>
      <c r="M136" s="8" t="n">
        <f aca="false">D136*K136</f>
        <v>17280</v>
      </c>
      <c r="N136" s="8" t="n">
        <f aca="false">D136*H136</f>
        <v>15000</v>
      </c>
      <c r="O136" s="6" t="str">
        <f aca="false">IF(ISNUMBER(SEARCH(C136,F136)),"","YES")</f>
        <v/>
      </c>
      <c r="P136" s="6" t="s">
        <v>25</v>
      </c>
      <c r="Q136" s="7" t="s">
        <v>41</v>
      </c>
      <c r="R136" s="7"/>
    </row>
    <row r="137" customFormat="false" ht="15" hidden="false" customHeight="false" outlineLevel="0" collapsed="false">
      <c r="A137" s="6" t="n">
        <v>136</v>
      </c>
      <c r="B137" s="7" t="s">
        <v>250</v>
      </c>
      <c r="C137" s="6" t="s">
        <v>23</v>
      </c>
      <c r="D137" s="6" t="n">
        <v>500</v>
      </c>
      <c r="E137" s="8" t="n">
        <v>130</v>
      </c>
      <c r="F137" s="7" t="s">
        <v>23</v>
      </c>
      <c r="G137" s="9" t="n">
        <v>80</v>
      </c>
      <c r="H137" s="9" t="n">
        <v>120</v>
      </c>
      <c r="I137" s="10" t="n">
        <f aca="false">IF(E137=0,0,(E137-H137)/E137)</f>
        <v>0.0769230769230769</v>
      </c>
      <c r="J137" s="6" t="str">
        <f aca="false">IF(E137&lt;G137,"LOSS",IF(E137&lt;H137*1.1,"THIN / RISK",IF(E137&gt;H137*1.8,"OVERPRICED?","OK")))</f>
        <v>THIN / RISK</v>
      </c>
      <c r="K137" s="8" t="n">
        <f aca="false">IF(J137="OVERPRICED?",ROUND(H137*1.35,-1),MAX(E137,ROUND(H137*(1+$E$3),-1)))</f>
        <v>140</v>
      </c>
      <c r="L137" s="8" t="n">
        <f aca="false">D137*E137</f>
        <v>65000</v>
      </c>
      <c r="M137" s="8" t="n">
        <f aca="false">D137*K137</f>
        <v>70000</v>
      </c>
      <c r="N137" s="8" t="n">
        <f aca="false">D137*H137</f>
        <v>60000</v>
      </c>
      <c r="O137" s="6" t="str">
        <f aca="false">IF(ISNUMBER(SEARCH(C137,F137)),"","YES")</f>
        <v/>
      </c>
      <c r="P137" s="6" t="s">
        <v>25</v>
      </c>
      <c r="Q137" s="7" t="s">
        <v>41</v>
      </c>
      <c r="R137" s="7"/>
    </row>
    <row r="138" customFormat="false" ht="15" hidden="false" customHeight="false" outlineLevel="0" collapsed="false">
      <c r="A138" s="6" t="n">
        <v>138</v>
      </c>
      <c r="B138" s="7" t="s">
        <v>251</v>
      </c>
      <c r="C138" s="6" t="s">
        <v>23</v>
      </c>
      <c r="D138" s="6" t="n">
        <v>24</v>
      </c>
      <c r="E138" s="8" t="n">
        <v>1170</v>
      </c>
      <c r="F138" s="7" t="s">
        <v>23</v>
      </c>
      <c r="G138" s="9" t="n">
        <v>600</v>
      </c>
      <c r="H138" s="9" t="n">
        <v>900</v>
      </c>
      <c r="I138" s="10" t="n">
        <f aca="false">IF(E138=0,0,(E138-H138)/E138)</f>
        <v>0.230769230769231</v>
      </c>
      <c r="J138" s="6" t="str">
        <f aca="false">IF(E138&lt;G138,"LOSS",IF(E138&lt;H138*1.1,"THIN / RISK",IF(E138&gt;H138*1.8,"OVERPRICED?","OK")))</f>
        <v>OK</v>
      </c>
      <c r="K138" s="8" t="n">
        <f aca="false">IF(J138="OVERPRICED?",ROUND(H138*1.35,-1),MAX(E138,ROUND(H138*(1+$E$3),-1)))</f>
        <v>1170</v>
      </c>
      <c r="L138" s="8" t="n">
        <f aca="false">D138*E138</f>
        <v>28080</v>
      </c>
      <c r="M138" s="8" t="n">
        <f aca="false">D138*K138</f>
        <v>28080</v>
      </c>
      <c r="N138" s="8" t="n">
        <f aca="false">D138*H138</f>
        <v>21600</v>
      </c>
      <c r="O138" s="6" t="str">
        <f aca="false">IF(ISNUMBER(SEARCH(C138,F138)),"","YES")</f>
        <v/>
      </c>
      <c r="P138" s="6" t="s">
        <v>25</v>
      </c>
      <c r="Q138" s="7" t="s">
        <v>41</v>
      </c>
      <c r="R138" s="7"/>
    </row>
    <row r="139" customFormat="false" ht="15" hidden="false" customHeight="false" outlineLevel="0" collapsed="false">
      <c r="A139" s="6" t="n">
        <v>139</v>
      </c>
      <c r="B139" s="7" t="s">
        <v>252</v>
      </c>
      <c r="C139" s="6" t="s">
        <v>28</v>
      </c>
      <c r="D139" s="6" t="n">
        <v>24</v>
      </c>
      <c r="E139" s="8" t="n">
        <v>715</v>
      </c>
      <c r="F139" s="7" t="s">
        <v>23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25</v>
      </c>
      <c r="Q139" s="7" t="s">
        <v>41</v>
      </c>
      <c r="R139" s="7"/>
    </row>
    <row r="140" customFormat="false" ht="15" hidden="false" customHeight="false" outlineLevel="0" collapsed="false">
      <c r="A140" s="6" t="n">
        <v>140</v>
      </c>
      <c r="B140" s="7" t="s">
        <v>253</v>
      </c>
      <c r="C140" s="6" t="s">
        <v>23</v>
      </c>
      <c r="D140" s="6" t="n">
        <v>24</v>
      </c>
      <c r="E140" s="8" t="n">
        <v>1560</v>
      </c>
      <c r="F140" s="7" t="s">
        <v>23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25</v>
      </c>
      <c r="Q140" s="7" t="s">
        <v>41</v>
      </c>
      <c r="R140" s="7"/>
    </row>
    <row r="141" customFormat="false" ht="15" hidden="false" customHeight="false" outlineLevel="0" collapsed="false">
      <c r="A141" s="6" t="n">
        <v>142</v>
      </c>
      <c r="B141" s="7" t="s">
        <v>254</v>
      </c>
      <c r="C141" s="6" t="s">
        <v>23</v>
      </c>
      <c r="D141" s="6" t="n">
        <v>3</v>
      </c>
      <c r="E141" s="8" t="n">
        <v>7150</v>
      </c>
      <c r="F141" s="7" t="s">
        <v>255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25</v>
      </c>
      <c r="Q141" s="7" t="s">
        <v>41</v>
      </c>
      <c r="R141" s="7"/>
    </row>
    <row r="142" customFormat="false" ht="15" hidden="false" customHeight="false" outlineLevel="0" collapsed="false">
      <c r="A142" s="6" t="n">
        <v>143</v>
      </c>
      <c r="B142" s="7" t="s">
        <v>256</v>
      </c>
      <c r="C142" s="6" t="s">
        <v>23</v>
      </c>
      <c r="D142" s="6" t="n">
        <v>3</v>
      </c>
      <c r="E142" s="8" t="n">
        <v>7150</v>
      </c>
      <c r="F142" s="7" t="s">
        <v>255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25</v>
      </c>
      <c r="Q142" s="7" t="s">
        <v>41</v>
      </c>
      <c r="R142" s="7"/>
    </row>
    <row r="143" customFormat="false" ht="15" hidden="false" customHeight="false" outlineLevel="0" collapsed="false">
      <c r="A143" s="6" t="n">
        <v>144</v>
      </c>
      <c r="B143" s="7" t="s">
        <v>257</v>
      </c>
      <c r="C143" s="6" t="s">
        <v>23</v>
      </c>
      <c r="D143" s="6" t="n">
        <v>3</v>
      </c>
      <c r="E143" s="8" t="n">
        <v>8450</v>
      </c>
      <c r="F143" s="7" t="s">
        <v>255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25</v>
      </c>
      <c r="Q143" s="7" t="s">
        <v>41</v>
      </c>
      <c r="R143" s="7"/>
    </row>
    <row r="144" customFormat="false" ht="15" hidden="false" customHeight="false" outlineLevel="0" collapsed="false">
      <c r="A144" s="6" t="n">
        <v>145</v>
      </c>
      <c r="B144" s="7" t="s">
        <v>258</v>
      </c>
      <c r="C144" s="6" t="s">
        <v>28</v>
      </c>
      <c r="D144" s="6" t="n">
        <v>500</v>
      </c>
      <c r="E144" s="8" t="n">
        <v>104</v>
      </c>
      <c r="F144" s="7" t="s">
        <v>259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25</v>
      </c>
      <c r="Q144" s="7" t="s">
        <v>227</v>
      </c>
      <c r="R144" s="7" t="s">
        <v>260</v>
      </c>
    </row>
    <row r="145" customFormat="false" ht="22.35" hidden="false" customHeight="false" outlineLevel="0" collapsed="false">
      <c r="A145" s="6" t="n">
        <v>146</v>
      </c>
      <c r="B145" s="7" t="s">
        <v>261</v>
      </c>
      <c r="C145" s="6" t="s">
        <v>23</v>
      </c>
      <c r="D145" s="6" t="n">
        <v>1</v>
      </c>
      <c r="E145" s="8" t="n">
        <v>105788</v>
      </c>
      <c r="F145" s="7" t="s">
        <v>262</v>
      </c>
      <c r="G145" s="9" t="n">
        <v>80000</v>
      </c>
      <c r="H145" s="9" t="n">
        <v>85000</v>
      </c>
      <c r="I145" s="10" t="n">
        <f aca="false">IF(E145=0,0,(E145-H145)/E145)</f>
        <v>0.196506219987144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85000</v>
      </c>
      <c r="O145" s="6" t="str">
        <f aca="false">IF(ISNUMBER(SEARCH(C145,F145)),"","YES")</f>
        <v/>
      </c>
      <c r="P145" s="6" t="s">
        <v>57</v>
      </c>
      <c r="Q145" s="7" t="s">
        <v>263</v>
      </c>
      <c r="R145" s="7"/>
    </row>
    <row r="146" customFormat="false" ht="15" hidden="false" customHeight="false" outlineLevel="0" collapsed="false">
      <c r="A146" s="6" t="n">
        <v>147</v>
      </c>
      <c r="B146" s="7" t="s">
        <v>264</v>
      </c>
      <c r="C146" s="6" t="s">
        <v>23</v>
      </c>
      <c r="D146" s="6" t="n">
        <v>1</v>
      </c>
      <c r="E146" s="8" t="n">
        <v>245700</v>
      </c>
      <c r="F146" s="7" t="s">
        <v>265</v>
      </c>
      <c r="G146" s="9" t="n">
        <v>200000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57</v>
      </c>
      <c r="Q146" s="7" t="s">
        <v>266</v>
      </c>
      <c r="R146" s="7"/>
    </row>
    <row r="147" customFormat="false" ht="15" hidden="false" customHeight="false" outlineLevel="0" collapsed="false">
      <c r="A147" s="6" t="n">
        <v>148</v>
      </c>
      <c r="B147" s="7" t="s">
        <v>267</v>
      </c>
      <c r="C147" s="6" t="s">
        <v>28</v>
      </c>
      <c r="D147" s="6" t="n">
        <v>12</v>
      </c>
      <c r="E147" s="8" t="n">
        <v>650</v>
      </c>
      <c r="F147" s="7" t="s">
        <v>268</v>
      </c>
      <c r="G147" s="9" t="n">
        <v>300</v>
      </c>
      <c r="H147" s="9" t="n">
        <v>500</v>
      </c>
      <c r="I147" s="10" t="n">
        <f aca="false">IF(E147=0,0,(E147-H147)/E147)</f>
        <v>0.230769230769231</v>
      </c>
      <c r="J147" s="6" t="str">
        <f aca="false">IF(E147&lt;G147,"LOSS",IF(E147&lt;H147*1.1,"THIN / RISK",IF(E147&gt;H147*1.8,"OVERPRICED?","OK")))</f>
        <v>OK</v>
      </c>
      <c r="K147" s="8" t="n">
        <f aca="false">IF(J147="OVERPRICED?",ROUND(H147*1.35,-1),MAX(E147,ROUND(H147*(1+$E$3),-1)))</f>
        <v>650</v>
      </c>
      <c r="L147" s="8" t="n">
        <f aca="false">D147*E147</f>
        <v>7800</v>
      </c>
      <c r="M147" s="8" t="n">
        <f aca="false">D147*K147</f>
        <v>7800</v>
      </c>
      <c r="N147" s="8" t="n">
        <f aca="false">D147*H147</f>
        <v>6000</v>
      </c>
      <c r="O147" s="6" t="str">
        <f aca="false">IF(ISNUMBER(SEARCH(C147,F147)),"","YES")</f>
        <v>YES</v>
      </c>
      <c r="P147" s="6" t="s">
        <v>25</v>
      </c>
      <c r="Q147" s="7" t="s">
        <v>41</v>
      </c>
      <c r="R147" s="7"/>
    </row>
    <row r="148" customFormat="false" ht="15" hidden="false" customHeight="false" outlineLevel="0" collapsed="false">
      <c r="A148" s="6" t="n">
        <v>149</v>
      </c>
      <c r="B148" s="7" t="s">
        <v>269</v>
      </c>
      <c r="C148" s="6" t="s">
        <v>23</v>
      </c>
      <c r="D148" s="6" t="n">
        <v>100</v>
      </c>
      <c r="E148" s="8" t="n">
        <v>1754</v>
      </c>
      <c r="F148" s="7" t="s">
        <v>270</v>
      </c>
      <c r="G148" s="9" t="n">
        <v>1100</v>
      </c>
      <c r="H148" s="9" t="n">
        <v>1420</v>
      </c>
      <c r="I148" s="10" t="n">
        <f aca="false">IF(E148=0,0,(E148-H148)/E148)</f>
        <v>0.19042189281642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142000</v>
      </c>
      <c r="O148" s="6" t="str">
        <f aca="false">IF(ISNUMBER(SEARCH(C148,F148)),"","YES")</f>
        <v>YES</v>
      </c>
      <c r="P148" s="6" t="s">
        <v>57</v>
      </c>
      <c r="Q148" s="7" t="s">
        <v>271</v>
      </c>
      <c r="R148" s="7"/>
    </row>
    <row r="149" customFormat="false" ht="22.35" hidden="false" customHeight="false" outlineLevel="0" collapsed="false">
      <c r="A149" s="6" t="n">
        <v>150</v>
      </c>
      <c r="B149" s="7" t="s">
        <v>272</v>
      </c>
      <c r="C149" s="6" t="s">
        <v>23</v>
      </c>
      <c r="D149" s="6" t="n">
        <v>100</v>
      </c>
      <c r="E149" s="8" t="n">
        <v>1235</v>
      </c>
      <c r="F149" s="7" t="s">
        <v>23</v>
      </c>
      <c r="G149" s="9" t="n">
        <v>700</v>
      </c>
      <c r="H149" s="9" t="n">
        <v>1000</v>
      </c>
      <c r="I149" s="10" t="n">
        <f aca="false">IF(E149=0,0,(E149-H149)/E149)</f>
        <v>0.190283400809717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100000</v>
      </c>
      <c r="O149" s="6" t="str">
        <f aca="false">IF(ISNUMBER(SEARCH(C149,F149)),"","YES")</f>
        <v/>
      </c>
      <c r="P149" s="6" t="s">
        <v>25</v>
      </c>
      <c r="Q149" s="7" t="s">
        <v>41</v>
      </c>
      <c r="R149" s="7"/>
    </row>
    <row r="150" customFormat="false" ht="15" hidden="false" customHeight="false" outlineLevel="0" collapsed="false">
      <c r="A150" s="6" t="n">
        <v>151</v>
      </c>
      <c r="B150" s="7" t="s">
        <v>273</v>
      </c>
      <c r="C150" s="6" t="s">
        <v>23</v>
      </c>
      <c r="D150" s="6" t="n">
        <v>100</v>
      </c>
      <c r="E150" s="8" t="n">
        <v>650</v>
      </c>
      <c r="F150" s="7" t="s">
        <v>23</v>
      </c>
      <c r="G150" s="9" t="n">
        <v>350</v>
      </c>
      <c r="H150" s="9" t="n">
        <v>500</v>
      </c>
      <c r="I150" s="10" t="n">
        <f aca="false">IF(E150=0,0,(E150-H150)/E150)</f>
        <v>0.230769230769231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650</v>
      </c>
      <c r="L150" s="8" t="n">
        <f aca="false">D150*E150</f>
        <v>65000</v>
      </c>
      <c r="M150" s="8" t="n">
        <f aca="false">D150*K150</f>
        <v>65000</v>
      </c>
      <c r="N150" s="8" t="n">
        <f aca="false">D150*H150</f>
        <v>50000</v>
      </c>
      <c r="O150" s="6" t="str">
        <f aca="false">IF(ISNUMBER(SEARCH(C150,F150)),"","YES")</f>
        <v/>
      </c>
      <c r="P150" s="6" t="s">
        <v>25</v>
      </c>
      <c r="Q150" s="7" t="s">
        <v>41</v>
      </c>
      <c r="R150" s="7"/>
    </row>
    <row r="151" customFormat="false" ht="22.35" hidden="false" customHeight="false" outlineLevel="0" collapsed="false">
      <c r="A151" s="6" t="n">
        <v>152</v>
      </c>
      <c r="B151" s="7" t="s">
        <v>274</v>
      </c>
      <c r="C151" s="6" t="s">
        <v>23</v>
      </c>
      <c r="D151" s="6" t="n">
        <v>24</v>
      </c>
      <c r="E151" s="8" t="n">
        <v>546</v>
      </c>
      <c r="F151" s="7" t="s">
        <v>23</v>
      </c>
      <c r="G151" s="9" t="n">
        <v>300</v>
      </c>
      <c r="H151" s="9" t="n">
        <v>450</v>
      </c>
      <c r="I151" s="10" t="n">
        <f aca="false">IF(E151=0,0,(E151-H151)/E151)</f>
        <v>0.175824175824176</v>
      </c>
      <c r="J151" s="6" t="str">
        <f aca="false">IF(E151&lt;G151,"LOSS",IF(E151&lt;H151*1.1,"THIN / RISK",IF(E151&gt;H151*1.8,"OVERPRICED?","OK")))</f>
        <v>OK</v>
      </c>
      <c r="K151" s="8" t="n">
        <f aca="false">IF(J151="OVERPRICED?",ROUND(H151*1.35,-1),MAX(E151,ROUND(H151*(1+$E$3),-1)))</f>
        <v>546</v>
      </c>
      <c r="L151" s="8" t="n">
        <f aca="false">D151*E151</f>
        <v>13104</v>
      </c>
      <c r="M151" s="8" t="n">
        <f aca="false">D151*K151</f>
        <v>13104</v>
      </c>
      <c r="N151" s="8" t="n">
        <f aca="false">D151*H151</f>
        <v>10800</v>
      </c>
      <c r="O151" s="6" t="str">
        <f aca="false">IF(ISNUMBER(SEARCH(C151,F151)),"","YES")</f>
        <v/>
      </c>
      <c r="P151" s="6" t="s">
        <v>25</v>
      </c>
      <c r="Q151" s="7" t="s">
        <v>41</v>
      </c>
      <c r="R151" s="7"/>
    </row>
    <row r="152" customFormat="false" ht="15" hidden="false" customHeight="false" outlineLevel="0" collapsed="false">
      <c r="A152" s="6" t="n">
        <v>153</v>
      </c>
      <c r="B152" s="7" t="s">
        <v>275</v>
      </c>
      <c r="C152" s="6" t="s">
        <v>23</v>
      </c>
      <c r="D152" s="6" t="n">
        <v>24</v>
      </c>
      <c r="E152" s="8" t="n">
        <v>1105</v>
      </c>
      <c r="F152" s="7" t="s">
        <v>23</v>
      </c>
      <c r="G152" s="9" t="n">
        <v>600</v>
      </c>
      <c r="H152" s="9" t="n">
        <v>900</v>
      </c>
      <c r="I152" s="10" t="n">
        <f aca="false">IF(E152=0,0,(E152-H152)/E152)</f>
        <v>0.18552036199095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21600</v>
      </c>
      <c r="O152" s="6" t="str">
        <f aca="false">IF(ISNUMBER(SEARCH(C152,F152)),"","YES")</f>
        <v/>
      </c>
      <c r="P152" s="6" t="s">
        <v>25</v>
      </c>
      <c r="Q152" s="7" t="s">
        <v>41</v>
      </c>
      <c r="R152" s="7"/>
    </row>
    <row r="153" customFormat="false" ht="15" hidden="false" customHeight="false" outlineLevel="0" collapsed="false">
      <c r="A153" s="6" t="n">
        <v>154</v>
      </c>
      <c r="B153" s="7" t="s">
        <v>276</v>
      </c>
      <c r="C153" s="6" t="s">
        <v>23</v>
      </c>
      <c r="D153" s="6" t="n">
        <v>12</v>
      </c>
      <c r="E153" s="8" t="n">
        <v>1560</v>
      </c>
      <c r="F153" s="7" t="s">
        <v>23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25</v>
      </c>
      <c r="Q153" s="7" t="s">
        <v>41</v>
      </c>
      <c r="R153" s="7"/>
    </row>
    <row r="154" customFormat="false" ht="15" hidden="false" customHeight="false" outlineLevel="0" collapsed="false">
      <c r="A154" s="6" t="n">
        <v>155</v>
      </c>
      <c r="B154" s="7" t="s">
        <v>277</v>
      </c>
      <c r="C154" s="6" t="s">
        <v>23</v>
      </c>
      <c r="D154" s="6" t="n">
        <v>50</v>
      </c>
      <c r="E154" s="8" t="n">
        <v>748</v>
      </c>
      <c r="F154" s="7" t="s">
        <v>23</v>
      </c>
      <c r="G154" s="9" t="n">
        <v>400</v>
      </c>
      <c r="H154" s="9" t="n">
        <v>600</v>
      </c>
      <c r="I154" s="10" t="n">
        <f aca="false">IF(E154=0,0,(E154-H154)/E154)</f>
        <v>0.197860962566845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30000</v>
      </c>
      <c r="O154" s="6" t="str">
        <f aca="false">IF(ISNUMBER(SEARCH(C154,F154)),"","YES")</f>
        <v/>
      </c>
      <c r="P154" s="6" t="s">
        <v>25</v>
      </c>
      <c r="Q154" s="7" t="s">
        <v>41</v>
      </c>
      <c r="R154" s="7"/>
    </row>
    <row r="155" customFormat="false" ht="15" hidden="false" customHeight="false" outlineLevel="0" collapsed="false">
      <c r="A155" s="6" t="n">
        <v>156</v>
      </c>
      <c r="B155" s="7" t="s">
        <v>278</v>
      </c>
      <c r="C155" s="6" t="s">
        <v>23</v>
      </c>
      <c r="D155" s="6" t="n">
        <v>30</v>
      </c>
      <c r="E155" s="8" t="n">
        <v>748</v>
      </c>
      <c r="F155" s="7" t="s">
        <v>23</v>
      </c>
      <c r="G155" s="9" t="n">
        <v>400</v>
      </c>
      <c r="H155" s="9" t="n">
        <v>600</v>
      </c>
      <c r="I155" s="10" t="n">
        <f aca="false">IF(E155=0,0,(E155-H155)/E155)</f>
        <v>0.197860962566845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18000</v>
      </c>
      <c r="O155" s="6" t="str">
        <f aca="false">IF(ISNUMBER(SEARCH(C155,F155)),"","YES")</f>
        <v/>
      </c>
      <c r="P155" s="6" t="s">
        <v>25</v>
      </c>
      <c r="Q155" s="7" t="s">
        <v>41</v>
      </c>
      <c r="R155" s="7"/>
    </row>
    <row r="156" customFormat="false" ht="15" hidden="false" customHeight="false" outlineLevel="0" collapsed="false">
      <c r="A156" s="6" t="n">
        <v>157</v>
      </c>
      <c r="B156" s="7" t="s">
        <v>279</v>
      </c>
      <c r="C156" s="6" t="s">
        <v>23</v>
      </c>
      <c r="D156" s="6" t="n">
        <v>30</v>
      </c>
      <c r="E156" s="8" t="n">
        <v>748</v>
      </c>
      <c r="F156" s="7" t="s">
        <v>23</v>
      </c>
      <c r="G156" s="9" t="n">
        <v>400</v>
      </c>
      <c r="H156" s="9" t="n">
        <v>600</v>
      </c>
      <c r="I156" s="10" t="n">
        <f aca="false">IF(E156=0,0,(E156-H156)/E156)</f>
        <v>0.197860962566845</v>
      </c>
      <c r="J156" s="6" t="str">
        <f aca="false">IF(E156&lt;G156,"LOSS",IF(E156&lt;H156*1.1,"THIN / RISK",IF(E156&gt;H156*1.8,"OVERPRICED?","OK")))</f>
        <v>OK</v>
      </c>
      <c r="K156" s="8" t="n">
        <f aca="false">IF(J156="OVERPRICED?",ROUND(H156*1.35,-1),MAX(E156,ROUND(H156*(1+$E$3),-1)))</f>
        <v>748</v>
      </c>
      <c r="L156" s="8" t="n">
        <f aca="false">D156*E156</f>
        <v>22440</v>
      </c>
      <c r="M156" s="8" t="n">
        <f aca="false">D156*K156</f>
        <v>22440</v>
      </c>
      <c r="N156" s="8" t="n">
        <f aca="false">D156*H156</f>
        <v>18000</v>
      </c>
      <c r="O156" s="6" t="str">
        <f aca="false">IF(ISNUMBER(SEARCH(C156,F156)),"","YES")</f>
        <v/>
      </c>
      <c r="P156" s="6" t="s">
        <v>25</v>
      </c>
      <c r="Q156" s="7" t="s">
        <v>41</v>
      </c>
      <c r="R156" s="7"/>
    </row>
    <row r="157" customFormat="false" ht="15" hidden="false" customHeight="false" outlineLevel="0" collapsed="false">
      <c r="A157" s="6" t="n">
        <v>158</v>
      </c>
      <c r="B157" s="7" t="s">
        <v>280</v>
      </c>
      <c r="C157" s="6" t="s">
        <v>28</v>
      </c>
      <c r="D157" s="6" t="n">
        <v>12</v>
      </c>
      <c r="E157" s="8" t="n">
        <v>311</v>
      </c>
      <c r="F157" s="7" t="s">
        <v>259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25</v>
      </c>
      <c r="Q157" s="7" t="s">
        <v>41</v>
      </c>
      <c r="R157" s="7" t="s">
        <v>281</v>
      </c>
    </row>
    <row r="158" customFormat="false" ht="15" hidden="false" customHeight="false" outlineLevel="0" collapsed="false">
      <c r="A158" s="6" t="n">
        <v>159</v>
      </c>
      <c r="B158" s="7" t="s">
        <v>282</v>
      </c>
      <c r="C158" s="6" t="s">
        <v>28</v>
      </c>
      <c r="D158" s="6" t="n">
        <v>100</v>
      </c>
      <c r="E158" s="8" t="n">
        <v>325</v>
      </c>
      <c r="F158" s="7" t="s">
        <v>259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25</v>
      </c>
      <c r="Q158" s="7" t="s">
        <v>283</v>
      </c>
      <c r="R158" s="7"/>
    </row>
    <row r="159" customFormat="false" ht="15" hidden="false" customHeight="false" outlineLevel="0" collapsed="false">
      <c r="A159" s="6" t="n">
        <v>160</v>
      </c>
      <c r="B159" s="7" t="s">
        <v>284</v>
      </c>
      <c r="C159" s="6" t="s">
        <v>28</v>
      </c>
      <c r="D159" s="6" t="n">
        <v>150</v>
      </c>
      <c r="E159" s="8" t="n">
        <v>117</v>
      </c>
      <c r="F159" s="7" t="s">
        <v>285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25</v>
      </c>
      <c r="Q159" s="7" t="s">
        <v>41</v>
      </c>
      <c r="R159" s="7"/>
    </row>
    <row r="160" customFormat="false" ht="15" hidden="false" customHeight="false" outlineLevel="0" collapsed="false">
      <c r="A160" s="6" t="n">
        <v>161</v>
      </c>
      <c r="B160" s="7" t="s">
        <v>286</v>
      </c>
      <c r="C160" s="6" t="s">
        <v>28</v>
      </c>
      <c r="D160" s="6" t="n">
        <v>150</v>
      </c>
      <c r="E160" s="8" t="n">
        <v>169</v>
      </c>
      <c r="F160" s="7" t="s">
        <v>285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25</v>
      </c>
      <c r="Q160" s="7" t="s">
        <v>41</v>
      </c>
      <c r="R160" s="7"/>
    </row>
    <row r="161" customFormat="false" ht="15" hidden="false" customHeight="false" outlineLevel="0" collapsed="false">
      <c r="A161" s="6" t="n">
        <v>162</v>
      </c>
      <c r="B161" s="7" t="s">
        <v>287</v>
      </c>
      <c r="C161" s="6" t="s">
        <v>28</v>
      </c>
      <c r="D161" s="6" t="n">
        <v>150</v>
      </c>
      <c r="E161" s="8" t="n">
        <v>234</v>
      </c>
      <c r="F161" s="7" t="s">
        <v>285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25</v>
      </c>
      <c r="Q161" s="7" t="s">
        <v>41</v>
      </c>
      <c r="R161" s="7"/>
    </row>
    <row r="162" customFormat="false" ht="15" hidden="false" customHeight="false" outlineLevel="0" collapsed="false">
      <c r="A162" s="6" t="n">
        <v>164</v>
      </c>
      <c r="B162" s="7" t="s">
        <v>288</v>
      </c>
      <c r="C162" s="6" t="s">
        <v>23</v>
      </c>
      <c r="D162" s="6" t="n">
        <v>40</v>
      </c>
      <c r="E162" s="8" t="n">
        <v>1209</v>
      </c>
      <c r="F162" s="7" t="s">
        <v>23</v>
      </c>
      <c r="G162" s="9" t="n">
        <v>800</v>
      </c>
      <c r="H162" s="9" t="n">
        <v>1100</v>
      </c>
      <c r="I162" s="10" t="n">
        <f aca="false">IF(E162=0,0,(E162-H162)/E162)</f>
        <v>0.0901571546732837</v>
      </c>
      <c r="J162" s="6" t="str">
        <f aca="false">IF(E162&lt;G162,"LOSS",IF(E162&lt;H162*1.1,"THIN / RISK",IF(E162&gt;H162*1.8,"OVERPRICED?","OK")))</f>
        <v>THIN / RISK</v>
      </c>
      <c r="K162" s="8" t="n">
        <f aca="false">IF(J162="OVERPRICED?",ROUND(H162*1.35,-1),MAX(E162,ROUND(H162*(1+$E$3),-1)))</f>
        <v>1270</v>
      </c>
      <c r="L162" s="8" t="n">
        <f aca="false">D162*E162</f>
        <v>48360</v>
      </c>
      <c r="M162" s="8" t="n">
        <f aca="false">D162*K162</f>
        <v>50800</v>
      </c>
      <c r="N162" s="8" t="n">
        <f aca="false">D162*H162</f>
        <v>44000</v>
      </c>
      <c r="O162" s="6" t="str">
        <f aca="false">IF(ISNUMBER(SEARCH(C162,F162)),"","YES")</f>
        <v/>
      </c>
      <c r="P162" s="6" t="s">
        <v>25</v>
      </c>
      <c r="Q162" s="7" t="s">
        <v>289</v>
      </c>
      <c r="R162" s="7" t="s">
        <v>290</v>
      </c>
    </row>
    <row r="163" customFormat="false" ht="15" hidden="false" customHeight="false" outlineLevel="0" collapsed="false">
      <c r="A163" s="6" t="n">
        <v>165</v>
      </c>
      <c r="B163" s="7" t="s">
        <v>291</v>
      </c>
      <c r="C163" s="6" t="s">
        <v>23</v>
      </c>
      <c r="D163" s="6" t="n">
        <v>40</v>
      </c>
      <c r="E163" s="8" t="n">
        <v>1209</v>
      </c>
      <c r="F163" s="7" t="s">
        <v>23</v>
      </c>
      <c r="G163" s="9" t="n">
        <v>800</v>
      </c>
      <c r="H163" s="9" t="n">
        <v>1100</v>
      </c>
      <c r="I163" s="10" t="n">
        <f aca="false">IF(E163=0,0,(E163-H163)/E163)</f>
        <v>0.0901571546732837</v>
      </c>
      <c r="J163" s="6" t="str">
        <f aca="false">IF(E163&lt;G163,"LOSS",IF(E163&lt;H163*1.1,"THIN / RISK",IF(E163&gt;H163*1.8,"OVERPRICED?","OK")))</f>
        <v>THIN / RISK</v>
      </c>
      <c r="K163" s="8" t="n">
        <f aca="false">IF(J163="OVERPRICED?",ROUND(H163*1.35,-1),MAX(E163,ROUND(H163*(1+$E$3),-1)))</f>
        <v>1270</v>
      </c>
      <c r="L163" s="8" t="n">
        <f aca="false">D163*E163</f>
        <v>48360</v>
      </c>
      <c r="M163" s="8" t="n">
        <f aca="false">D163*K163</f>
        <v>50800</v>
      </c>
      <c r="N163" s="8" t="n">
        <f aca="false">D163*H163</f>
        <v>44000</v>
      </c>
      <c r="O163" s="6" t="str">
        <f aca="false">IF(ISNUMBER(SEARCH(C163,F163)),"","YES")</f>
        <v/>
      </c>
      <c r="P163" s="6" t="s">
        <v>25</v>
      </c>
      <c r="Q163" s="7" t="s">
        <v>289</v>
      </c>
      <c r="R163" s="7"/>
    </row>
    <row r="164" customFormat="false" ht="15" hidden="false" customHeight="false" outlineLevel="0" collapsed="false">
      <c r="A164" s="6" t="n">
        <v>166</v>
      </c>
      <c r="B164" s="7" t="s">
        <v>292</v>
      </c>
      <c r="C164" s="6" t="s">
        <v>23</v>
      </c>
      <c r="D164" s="6" t="n">
        <v>20</v>
      </c>
      <c r="E164" s="8" t="n">
        <v>3022</v>
      </c>
      <c r="F164" s="7" t="s">
        <v>23</v>
      </c>
      <c r="G164" s="9" t="n">
        <v>2200</v>
      </c>
      <c r="H164" s="9" t="n">
        <v>2900</v>
      </c>
      <c r="I164" s="10" t="n">
        <f aca="false">IF(E164=0,0,(E164-H164)/E164)</f>
        <v>0.0403706154864328</v>
      </c>
      <c r="J164" s="6" t="str">
        <f aca="false">IF(E164&lt;G164,"LOSS",IF(E164&lt;H164*1.1,"THIN / RISK",IF(E164&gt;H164*1.8,"OVERPRICED?","OK")))</f>
        <v>THIN / RISK</v>
      </c>
      <c r="K164" s="8" t="n">
        <f aca="false">IF(J164="OVERPRICED?",ROUND(H164*1.35,-1),MAX(E164,ROUND(H164*(1+$E$3),-1)))</f>
        <v>3340</v>
      </c>
      <c r="L164" s="8" t="n">
        <f aca="false">D164*E164</f>
        <v>60440</v>
      </c>
      <c r="M164" s="8" t="n">
        <f aca="false">D164*K164</f>
        <v>66800</v>
      </c>
      <c r="N164" s="8" t="n">
        <f aca="false">D164*H164</f>
        <v>58000</v>
      </c>
      <c r="O164" s="6" t="str">
        <f aca="false">IF(ISNUMBER(SEARCH(C164,F164)),"","YES")</f>
        <v/>
      </c>
      <c r="P164" s="6" t="s">
        <v>25</v>
      </c>
      <c r="Q164" s="7" t="s">
        <v>289</v>
      </c>
      <c r="R164" s="7"/>
    </row>
    <row r="165" customFormat="false" ht="15" hidden="false" customHeight="false" outlineLevel="0" collapsed="false">
      <c r="A165" s="6" t="n">
        <v>167</v>
      </c>
      <c r="B165" s="7" t="s">
        <v>293</v>
      </c>
      <c r="C165" s="6" t="s">
        <v>23</v>
      </c>
      <c r="D165" s="6" t="n">
        <v>40</v>
      </c>
      <c r="E165" s="8" t="n">
        <v>6240</v>
      </c>
      <c r="F165" s="7" t="s">
        <v>23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25</v>
      </c>
      <c r="Q165" s="7" t="s">
        <v>289</v>
      </c>
      <c r="R165" s="7"/>
    </row>
    <row r="166" customFormat="false" ht="15" hidden="false" customHeight="false" outlineLevel="0" collapsed="false">
      <c r="A166" s="6" t="n">
        <v>168</v>
      </c>
      <c r="B166" s="7" t="s">
        <v>294</v>
      </c>
      <c r="C166" s="6" t="s">
        <v>23</v>
      </c>
      <c r="D166" s="6" t="n">
        <v>20</v>
      </c>
      <c r="E166" s="8" t="n">
        <v>7150</v>
      </c>
      <c r="F166" s="7" t="s">
        <v>23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25</v>
      </c>
      <c r="Q166" s="7" t="s">
        <v>289</v>
      </c>
      <c r="R166" s="7"/>
    </row>
    <row r="167" customFormat="false" ht="15" hidden="false" customHeight="false" outlineLevel="0" collapsed="false">
      <c r="A167" s="6" t="n">
        <v>177</v>
      </c>
      <c r="B167" s="7" t="s">
        <v>295</v>
      </c>
      <c r="C167" s="6" t="s">
        <v>28</v>
      </c>
      <c r="D167" s="6" t="n">
        <v>3</v>
      </c>
      <c r="E167" s="8" t="n">
        <v>5850</v>
      </c>
      <c r="F167" s="7" t="s">
        <v>268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25</v>
      </c>
      <c r="Q167" s="7" t="s">
        <v>41</v>
      </c>
      <c r="R167" s="7"/>
    </row>
    <row r="168" customFormat="false" ht="15" hidden="false" customHeight="false" outlineLevel="0" collapsed="false">
      <c r="A168" s="6" t="n">
        <v>179</v>
      </c>
      <c r="B168" s="7" t="s">
        <v>296</v>
      </c>
      <c r="C168" s="6" t="s">
        <v>28</v>
      </c>
      <c r="D168" s="6" t="n">
        <v>1</v>
      </c>
      <c r="E168" s="8" t="n">
        <v>23400</v>
      </c>
      <c r="F168" s="7" t="s">
        <v>205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25</v>
      </c>
      <c r="Q168" s="7" t="s">
        <v>41</v>
      </c>
      <c r="R168" s="7"/>
    </row>
    <row r="169" customFormat="false" ht="15" hidden="false" customHeight="false" outlineLevel="0" collapsed="false">
      <c r="A169" s="6" t="n">
        <v>180</v>
      </c>
      <c r="B169" s="7" t="s">
        <v>297</v>
      </c>
      <c r="C169" s="6" t="s">
        <v>28</v>
      </c>
      <c r="D169" s="6" t="n">
        <v>1</v>
      </c>
      <c r="E169" s="8" t="n">
        <v>15600</v>
      </c>
      <c r="F169" s="7" t="s">
        <v>205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25</v>
      </c>
      <c r="Q169" s="7" t="s">
        <v>41</v>
      </c>
      <c r="R169" s="7"/>
    </row>
    <row r="170" customFormat="false" ht="15" hidden="false" customHeight="false" outlineLevel="0" collapsed="false">
      <c r="A170" s="6" t="n">
        <v>181</v>
      </c>
      <c r="B170" s="7" t="s">
        <v>298</v>
      </c>
      <c r="C170" s="6" t="s">
        <v>28</v>
      </c>
      <c r="D170" s="6" t="n">
        <v>1</v>
      </c>
      <c r="E170" s="8" t="n">
        <v>33800</v>
      </c>
      <c r="F170" s="7" t="s">
        <v>205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25</v>
      </c>
      <c r="Q170" s="7" t="s">
        <v>41</v>
      </c>
      <c r="R170" s="7"/>
    </row>
    <row r="171" customFormat="false" ht="15" hidden="false" customHeight="false" outlineLevel="0" collapsed="false">
      <c r="A171" s="6" t="n">
        <v>182</v>
      </c>
      <c r="B171" s="7" t="s">
        <v>299</v>
      </c>
      <c r="C171" s="6" t="s">
        <v>28</v>
      </c>
      <c r="D171" s="6" t="n">
        <v>1</v>
      </c>
      <c r="E171" s="8" t="n">
        <v>23400</v>
      </c>
      <c r="F171" s="7" t="s">
        <v>205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25</v>
      </c>
      <c r="Q171" s="7" t="s">
        <v>41</v>
      </c>
      <c r="R171" s="7"/>
    </row>
    <row r="172" customFormat="false" ht="15" hidden="false" customHeight="false" outlineLevel="0" collapsed="false">
      <c r="A172" s="6" t="n">
        <v>183</v>
      </c>
      <c r="B172" s="7" t="s">
        <v>300</v>
      </c>
      <c r="C172" s="6" t="s">
        <v>28</v>
      </c>
      <c r="D172" s="6" t="n">
        <v>3</v>
      </c>
      <c r="E172" s="8" t="n">
        <v>2860</v>
      </c>
      <c r="F172" s="7" t="s">
        <v>37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25</v>
      </c>
      <c r="Q172" s="7" t="s">
        <v>41</v>
      </c>
      <c r="R172" s="7"/>
    </row>
    <row r="173" customFormat="false" ht="15" hidden="false" customHeight="false" outlineLevel="0" collapsed="false">
      <c r="A173" s="6" t="n">
        <v>184</v>
      </c>
      <c r="B173" s="7" t="s">
        <v>301</v>
      </c>
      <c r="C173" s="6" t="s">
        <v>28</v>
      </c>
      <c r="D173" s="6" t="n">
        <v>3</v>
      </c>
      <c r="E173" s="8" t="n">
        <v>3250</v>
      </c>
      <c r="F173" s="7" t="s">
        <v>37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25</v>
      </c>
      <c r="Q173" s="7" t="s">
        <v>41</v>
      </c>
      <c r="R173" s="7"/>
    </row>
    <row r="174" customFormat="false" ht="15" hidden="false" customHeight="false" outlineLevel="0" collapsed="false">
      <c r="A174" s="6" t="n">
        <v>185</v>
      </c>
      <c r="B174" s="7" t="s">
        <v>302</v>
      </c>
      <c r="C174" s="6" t="s">
        <v>28</v>
      </c>
      <c r="D174" s="6" t="n">
        <v>3</v>
      </c>
      <c r="E174" s="8" t="n">
        <v>3900</v>
      </c>
      <c r="F174" s="7" t="s">
        <v>37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25</v>
      </c>
      <c r="Q174" s="7" t="s">
        <v>41</v>
      </c>
      <c r="R174" s="7"/>
    </row>
    <row r="175" customFormat="false" ht="15" hidden="false" customHeight="false" outlineLevel="0" collapsed="false">
      <c r="A175" s="6" t="n">
        <v>186</v>
      </c>
      <c r="B175" s="7" t="s">
        <v>303</v>
      </c>
      <c r="C175" s="6" t="s">
        <v>28</v>
      </c>
      <c r="D175" s="6" t="n">
        <v>3</v>
      </c>
      <c r="E175" s="8" t="n">
        <v>4550</v>
      </c>
      <c r="F175" s="7" t="s">
        <v>37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25</v>
      </c>
      <c r="Q175" s="7" t="s">
        <v>41</v>
      </c>
      <c r="R175" s="7"/>
    </row>
    <row r="176" customFormat="false" ht="15" hidden="false" customHeight="false" outlineLevel="0" collapsed="false">
      <c r="A176" s="6" t="n">
        <v>187</v>
      </c>
      <c r="B176" s="7" t="s">
        <v>304</v>
      </c>
      <c r="C176" s="6" t="s">
        <v>28</v>
      </c>
      <c r="D176" s="6" t="n">
        <v>2</v>
      </c>
      <c r="E176" s="8" t="n">
        <v>7150</v>
      </c>
      <c r="F176" s="7" t="s">
        <v>37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25</v>
      </c>
      <c r="Q176" s="7" t="s">
        <v>41</v>
      </c>
      <c r="R176" s="7"/>
    </row>
    <row r="177" customFormat="false" ht="15" hidden="false" customHeight="false" outlineLevel="0" collapsed="false">
      <c r="A177" s="6" t="n">
        <v>188</v>
      </c>
      <c r="B177" s="7" t="s">
        <v>305</v>
      </c>
      <c r="C177" s="6" t="s">
        <v>28</v>
      </c>
      <c r="D177" s="6" t="n">
        <v>1</v>
      </c>
      <c r="E177" s="8" t="n">
        <v>8450</v>
      </c>
      <c r="F177" s="7" t="s">
        <v>37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25</v>
      </c>
      <c r="Q177" s="7" t="s">
        <v>41</v>
      </c>
      <c r="R177" s="7"/>
    </row>
    <row r="178" customFormat="false" ht="15" hidden="false" customHeight="false" outlineLevel="0" collapsed="false">
      <c r="A178" s="6" t="n">
        <v>189</v>
      </c>
      <c r="B178" s="7" t="s">
        <v>306</v>
      </c>
      <c r="C178" s="6" t="s">
        <v>28</v>
      </c>
      <c r="D178" s="6" t="n">
        <v>1</v>
      </c>
      <c r="E178" s="8" t="n">
        <v>9750</v>
      </c>
      <c r="F178" s="7" t="s">
        <v>37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25</v>
      </c>
      <c r="Q178" s="7" t="s">
        <v>41</v>
      </c>
      <c r="R178" s="7"/>
    </row>
    <row r="179" customFormat="false" ht="15" hidden="false" customHeight="false" outlineLevel="0" collapsed="false">
      <c r="A179" s="6" t="n">
        <v>190</v>
      </c>
      <c r="B179" s="7" t="s">
        <v>307</v>
      </c>
      <c r="C179" s="6" t="s">
        <v>28</v>
      </c>
      <c r="D179" s="6" t="n">
        <v>2</v>
      </c>
      <c r="E179" s="8" t="n">
        <v>2340</v>
      </c>
      <c r="F179" s="7" t="s">
        <v>37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25</v>
      </c>
      <c r="Q179" s="7" t="s">
        <v>41</v>
      </c>
      <c r="R179" s="7"/>
    </row>
    <row r="180" customFormat="false" ht="15" hidden="false" customHeight="false" outlineLevel="0" collapsed="false">
      <c r="A180" s="6" t="n">
        <v>191</v>
      </c>
      <c r="B180" s="7" t="s">
        <v>307</v>
      </c>
      <c r="C180" s="6" t="s">
        <v>28</v>
      </c>
      <c r="D180" s="6" t="n">
        <v>2</v>
      </c>
      <c r="E180" s="8" t="n">
        <v>3640</v>
      </c>
      <c r="F180" s="7" t="s">
        <v>37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25</v>
      </c>
      <c r="Q180" s="7" t="s">
        <v>41</v>
      </c>
      <c r="R180" s="7"/>
    </row>
    <row r="181" customFormat="false" ht="15" hidden="false" customHeight="false" outlineLevel="0" collapsed="false">
      <c r="A181" s="6" t="n">
        <v>192</v>
      </c>
      <c r="B181" s="7" t="s">
        <v>308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25</v>
      </c>
      <c r="Q181" s="7" t="s">
        <v>41</v>
      </c>
      <c r="R181" s="7"/>
    </row>
    <row r="182" customFormat="false" ht="15" hidden="false" customHeight="false" outlineLevel="0" collapsed="false">
      <c r="A182" s="6" t="n">
        <v>193</v>
      </c>
      <c r="B182" s="7" t="s">
        <v>309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25</v>
      </c>
      <c r="Q182" s="7" t="s">
        <v>41</v>
      </c>
      <c r="R182" s="7"/>
    </row>
    <row r="183" customFormat="false" ht="15" hidden="false" customHeight="false" outlineLevel="0" collapsed="false">
      <c r="A183" s="6" t="n">
        <v>194</v>
      </c>
      <c r="B183" s="7" t="s">
        <v>310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25</v>
      </c>
      <c r="Q183" s="7" t="s">
        <v>41</v>
      </c>
      <c r="R183" s="7"/>
    </row>
    <row r="184" customFormat="false" ht="15" hidden="false" customHeight="false" outlineLevel="0" collapsed="false">
      <c r="A184" s="6" t="n">
        <v>195</v>
      </c>
      <c r="B184" s="7" t="s">
        <v>311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25</v>
      </c>
      <c r="Q184" s="7" t="s">
        <v>41</v>
      </c>
      <c r="R184" s="7"/>
    </row>
    <row r="185" customFormat="false" ht="15" hidden="false" customHeight="false" outlineLevel="0" collapsed="false">
      <c r="A185" s="6" t="n">
        <v>196</v>
      </c>
      <c r="B185" s="7" t="s">
        <v>312</v>
      </c>
      <c r="C185" s="6" t="s">
        <v>28</v>
      </c>
      <c r="D185" s="6" t="n">
        <v>2</v>
      </c>
      <c r="E185" s="8" t="n">
        <v>4550</v>
      </c>
      <c r="F185" s="7" t="s">
        <v>37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25</v>
      </c>
      <c r="Q185" s="7" t="s">
        <v>41</v>
      </c>
      <c r="R185" s="7"/>
    </row>
    <row r="186" customFormat="false" ht="15" hidden="false" customHeight="false" outlineLevel="0" collapsed="false">
      <c r="A186" s="6" t="n">
        <v>197</v>
      </c>
      <c r="B186" s="7" t="s">
        <v>313</v>
      </c>
      <c r="C186" s="6" t="s">
        <v>28</v>
      </c>
      <c r="D186" s="6" t="n">
        <v>1</v>
      </c>
      <c r="E186" s="8" t="n">
        <v>17940</v>
      </c>
      <c r="F186" s="7" t="s">
        <v>314</v>
      </c>
      <c r="G186" s="9" t="n">
        <v>6000</v>
      </c>
      <c r="H186" s="9" t="n">
        <v>8000</v>
      </c>
      <c r="I186" s="10" t="n">
        <f aca="false">IF(E186=0,0,(E186-H186)/E186)</f>
        <v>0.554069119286511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10800</v>
      </c>
      <c r="L186" s="8" t="n">
        <f aca="false">D186*E186</f>
        <v>17940</v>
      </c>
      <c r="M186" s="8" t="n">
        <f aca="false">D186*K186</f>
        <v>10800</v>
      </c>
      <c r="N186" s="8" t="n">
        <f aca="false">D186*H186</f>
        <v>8000</v>
      </c>
      <c r="O186" s="6" t="str">
        <f aca="false">IF(ISNUMBER(SEARCH(C186,F186)),"","YES")</f>
        <v>YES</v>
      </c>
      <c r="P186" s="6" t="s">
        <v>45</v>
      </c>
      <c r="Q186" s="7" t="s">
        <v>315</v>
      </c>
      <c r="R186" s="7" t="s">
        <v>316</v>
      </c>
    </row>
    <row r="187" customFormat="false" ht="15" hidden="false" customHeight="false" outlineLevel="0" collapsed="false">
      <c r="A187" s="6" t="n">
        <v>198</v>
      </c>
      <c r="B187" s="7" t="s">
        <v>317</v>
      </c>
      <c r="C187" s="6" t="s">
        <v>28</v>
      </c>
      <c r="D187" s="6" t="n">
        <v>1</v>
      </c>
      <c r="E187" s="8" t="n">
        <v>18850</v>
      </c>
      <c r="F187" s="7" t="s">
        <v>318</v>
      </c>
      <c r="G187" s="9" t="n">
        <v>7500</v>
      </c>
      <c r="H187" s="9" t="n">
        <v>9500</v>
      </c>
      <c r="I187" s="10" t="n">
        <f aca="false">IF(E187=0,0,(E187-H187)/E187)</f>
        <v>0.496021220159151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12830</v>
      </c>
      <c r="L187" s="8" t="n">
        <f aca="false">D187*E187</f>
        <v>18850</v>
      </c>
      <c r="M187" s="8" t="n">
        <f aca="false">D187*K187</f>
        <v>12830</v>
      </c>
      <c r="N187" s="8" t="n">
        <f aca="false">D187*H187</f>
        <v>9500</v>
      </c>
      <c r="O187" s="6" t="str">
        <f aca="false">IF(ISNUMBER(SEARCH(C187,F187)),"","YES")</f>
        <v>YES</v>
      </c>
      <c r="P187" s="6" t="s">
        <v>25</v>
      </c>
      <c r="Q187" s="7" t="s">
        <v>41</v>
      </c>
      <c r="R187" s="7"/>
    </row>
    <row r="188" customFormat="false" ht="15" hidden="false" customHeight="false" outlineLevel="0" collapsed="false">
      <c r="A188" s="6" t="n">
        <v>199</v>
      </c>
      <c r="B188" s="7" t="s">
        <v>319</v>
      </c>
      <c r="C188" s="6" t="s">
        <v>28</v>
      </c>
      <c r="D188" s="6" t="n">
        <v>1</v>
      </c>
      <c r="E188" s="8" t="n">
        <v>19500</v>
      </c>
      <c r="F188" s="7" t="s">
        <v>320</v>
      </c>
      <c r="G188" s="9" t="n">
        <v>8500</v>
      </c>
      <c r="H188" s="9" t="n">
        <v>11000</v>
      </c>
      <c r="I188" s="10" t="n">
        <f aca="false">IF(E188=0,0,(E188-H188)/E188)</f>
        <v>0.435897435897436</v>
      </c>
      <c r="J188" s="6" t="str">
        <f aca="false">IF(E188&lt;G188,"LOSS",IF(E188&lt;H188*1.1,"THIN / RISK",IF(E188&gt;H188*1.8,"OVERPRICED?","OK")))</f>
        <v>OK</v>
      </c>
      <c r="K188" s="8" t="n">
        <f aca="false">IF(J188="OVERPRICED?",ROUND(H188*1.35,-1),MAX(E188,ROUND(H188*(1+$E$3),-1)))</f>
        <v>19500</v>
      </c>
      <c r="L188" s="8" t="n">
        <f aca="false">D188*E188</f>
        <v>19500</v>
      </c>
      <c r="M188" s="8" t="n">
        <f aca="false">D188*K188</f>
        <v>19500</v>
      </c>
      <c r="N188" s="8" t="n">
        <f aca="false">D188*H188</f>
        <v>11000</v>
      </c>
      <c r="O188" s="6" t="str">
        <f aca="false">IF(ISNUMBER(SEARCH(C188,F188)),"","YES")</f>
        <v>YES</v>
      </c>
      <c r="P188" s="6" t="s">
        <v>25</v>
      </c>
      <c r="Q188" s="7" t="s">
        <v>41</v>
      </c>
      <c r="R188" s="7"/>
    </row>
    <row r="189" customFormat="false" ht="15" hidden="false" customHeight="false" outlineLevel="0" collapsed="false">
      <c r="A189" s="6" t="n">
        <v>200</v>
      </c>
      <c r="B189" s="7" t="s">
        <v>321</v>
      </c>
      <c r="C189" s="6" t="s">
        <v>28</v>
      </c>
      <c r="D189" s="6" t="n">
        <v>1</v>
      </c>
      <c r="E189" s="8" t="n">
        <v>20800</v>
      </c>
      <c r="F189" s="7" t="s">
        <v>322</v>
      </c>
      <c r="G189" s="9" t="n">
        <v>10000</v>
      </c>
      <c r="H189" s="9" t="n">
        <v>12500</v>
      </c>
      <c r="I189" s="10" t="n">
        <f aca="false">IF(E189=0,0,(E189-H189)/E189)</f>
        <v>0.399038461538462</v>
      </c>
      <c r="J189" s="6" t="str">
        <f aca="false">IF(E189&lt;G189,"LOSS",IF(E189&lt;H189*1.1,"THIN / RISK",IF(E189&gt;H189*1.8,"OVERPRICED?","OK")))</f>
        <v>OK</v>
      </c>
      <c r="K189" s="8" t="n">
        <f aca="false">IF(J189="OVERPRICED?",ROUND(H189*1.35,-1),MAX(E189,ROUND(H189*(1+$E$3),-1)))</f>
        <v>20800</v>
      </c>
      <c r="L189" s="8" t="n">
        <f aca="false">D189*E189</f>
        <v>20800</v>
      </c>
      <c r="M189" s="8" t="n">
        <f aca="false">D189*K189</f>
        <v>20800</v>
      </c>
      <c r="N189" s="8" t="n">
        <f aca="false">D189*H189</f>
        <v>12500</v>
      </c>
      <c r="O189" s="6" t="str">
        <f aca="false">IF(ISNUMBER(SEARCH(C189,F189)),"","YES")</f>
        <v>YES</v>
      </c>
      <c r="P189" s="6" t="s">
        <v>25</v>
      </c>
      <c r="Q189" s="7" t="s">
        <v>41</v>
      </c>
      <c r="R189" s="7"/>
    </row>
    <row r="190" customFormat="false" ht="15" hidden="false" customHeight="false" outlineLevel="0" collapsed="false">
      <c r="A190" s="6" t="n">
        <v>201</v>
      </c>
      <c r="B190" s="7" t="s">
        <v>323</v>
      </c>
      <c r="C190" s="6" t="s">
        <v>28</v>
      </c>
      <c r="D190" s="6" t="n">
        <v>1</v>
      </c>
      <c r="E190" s="8" t="n">
        <v>22750</v>
      </c>
      <c r="F190" s="7" t="s">
        <v>324</v>
      </c>
      <c r="G190" s="9" t="n">
        <v>12000</v>
      </c>
      <c r="H190" s="9" t="n">
        <v>15000</v>
      </c>
      <c r="I190" s="10" t="n">
        <f aca="false">IF(E190=0,0,(E190-H190)/E190)</f>
        <v>0.340659340659341</v>
      </c>
      <c r="J190" s="6" t="str">
        <f aca="false">IF(E190&lt;G190,"LOSS",IF(E190&lt;H190*1.1,"THIN / RISK",IF(E190&gt;H190*1.8,"OVERPRICED?","OK")))</f>
        <v>OK</v>
      </c>
      <c r="K190" s="8" t="n">
        <f aca="false">IF(J190="OVERPRICED?",ROUND(H190*1.35,-1),MAX(E190,ROUND(H190*(1+$E$3),-1)))</f>
        <v>22750</v>
      </c>
      <c r="L190" s="8" t="n">
        <f aca="false">D190*E190</f>
        <v>22750</v>
      </c>
      <c r="M190" s="8" t="n">
        <f aca="false">D190*K190</f>
        <v>22750</v>
      </c>
      <c r="N190" s="8" t="n">
        <f aca="false">D190*H190</f>
        <v>15000</v>
      </c>
      <c r="O190" s="6" t="str">
        <f aca="false">IF(ISNUMBER(SEARCH(C190,F190)),"","YES")</f>
        <v>YES</v>
      </c>
      <c r="P190" s="6" t="s">
        <v>25</v>
      </c>
      <c r="Q190" s="7" t="s">
        <v>41</v>
      </c>
      <c r="R190" s="7"/>
    </row>
    <row r="191" customFormat="false" ht="15" hidden="false" customHeight="false" outlineLevel="0" collapsed="false">
      <c r="A191" s="6" t="n">
        <v>202</v>
      </c>
      <c r="B191" s="7" t="s">
        <v>325</v>
      </c>
      <c r="C191" s="6" t="s">
        <v>28</v>
      </c>
      <c r="D191" s="6" t="n">
        <v>2</v>
      </c>
      <c r="E191" s="8" t="n">
        <v>2340</v>
      </c>
      <c r="F191" s="7" t="s">
        <v>37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25</v>
      </c>
      <c r="Q191" s="7" t="s">
        <v>41</v>
      </c>
      <c r="R191" s="7"/>
    </row>
    <row r="192" customFormat="false" ht="15" hidden="false" customHeight="false" outlineLevel="0" collapsed="false">
      <c r="A192" s="6" t="n">
        <v>204</v>
      </c>
      <c r="B192" s="7" t="s">
        <v>326</v>
      </c>
      <c r="C192" s="6" t="s">
        <v>28</v>
      </c>
      <c r="D192" s="6" t="n">
        <v>6</v>
      </c>
      <c r="E192" s="8" t="n">
        <v>845</v>
      </c>
      <c r="F192" s="7" t="s">
        <v>327</v>
      </c>
      <c r="G192" s="9" t="n">
        <v>800</v>
      </c>
      <c r="H192" s="9" t="n">
        <v>1200</v>
      </c>
      <c r="I192" s="10" t="n">
        <f aca="false">IF(E192=0,0,(E192-H192)/E192)</f>
        <v>-0.420118343195266</v>
      </c>
      <c r="J192" s="6" t="str">
        <f aca="false">IF(E192&lt;G192,"LOSS",IF(E192&lt;H192*1.1,"THIN / RISK",IF(E192&gt;H192*1.8,"OVERPRICED?","OK")))</f>
        <v>THIN / RISK</v>
      </c>
      <c r="K192" s="8" t="n">
        <f aca="false">IF(J192="OVERPRICED?",ROUND(H192*1.35,-1),MAX(E192,ROUND(H192*(1+$E$3),-1)))</f>
        <v>1380</v>
      </c>
      <c r="L192" s="8" t="n">
        <f aca="false">D192*E192</f>
        <v>5070</v>
      </c>
      <c r="M192" s="8" t="n">
        <f aca="false">D192*K192</f>
        <v>8280</v>
      </c>
      <c r="N192" s="8" t="n">
        <f aca="false">D192*H192</f>
        <v>7200</v>
      </c>
      <c r="O192" s="6" t="str">
        <f aca="false">IF(ISNUMBER(SEARCH(C192,F192)),"","YES")</f>
        <v>YES</v>
      </c>
      <c r="P192" s="6" t="s">
        <v>25</v>
      </c>
      <c r="Q192" s="7" t="s">
        <v>41</v>
      </c>
      <c r="R192" s="7" t="s">
        <v>328</v>
      </c>
    </row>
    <row r="193" customFormat="false" ht="15" hidden="false" customHeight="false" outlineLevel="0" collapsed="false">
      <c r="A193" s="6" t="n">
        <v>205</v>
      </c>
      <c r="B193" s="7" t="s">
        <v>329</v>
      </c>
      <c r="C193" s="6" t="s">
        <v>28</v>
      </c>
      <c r="D193" s="6" t="n">
        <v>6</v>
      </c>
      <c r="E193" s="8" t="n">
        <v>910</v>
      </c>
      <c r="F193" s="7" t="s">
        <v>327</v>
      </c>
      <c r="G193" s="9" t="n">
        <v>900</v>
      </c>
      <c r="H193" s="9" t="n">
        <v>1300</v>
      </c>
      <c r="I193" s="10" t="n">
        <f aca="false">IF(E193=0,0,(E193-H193)/E193)</f>
        <v>-0.428571428571429</v>
      </c>
      <c r="J193" s="6" t="str">
        <f aca="false">IF(E193&lt;G193,"LOSS",IF(E193&lt;H193*1.1,"THIN / RISK",IF(E193&gt;H193*1.8,"OVERPRICED?","OK")))</f>
        <v>THIN / RISK</v>
      </c>
      <c r="K193" s="8" t="n">
        <f aca="false">IF(J193="OVERPRICED?",ROUND(H193*1.35,-1),MAX(E193,ROUND(H193*(1+$E$3),-1)))</f>
        <v>1500</v>
      </c>
      <c r="L193" s="8" t="n">
        <f aca="false">D193*E193</f>
        <v>5460</v>
      </c>
      <c r="M193" s="8" t="n">
        <f aca="false">D193*K193</f>
        <v>9000</v>
      </c>
      <c r="N193" s="8" t="n">
        <f aca="false">D193*H193</f>
        <v>7800</v>
      </c>
      <c r="O193" s="6" t="str">
        <f aca="false">IF(ISNUMBER(SEARCH(C193,F193)),"","YES")</f>
        <v>YES</v>
      </c>
      <c r="P193" s="6" t="s">
        <v>25</v>
      </c>
      <c r="Q193" s="7" t="s">
        <v>41</v>
      </c>
      <c r="R193" s="7"/>
    </row>
    <row r="194" customFormat="false" ht="15" hidden="false" customHeight="false" outlineLevel="0" collapsed="false">
      <c r="A194" s="6" t="n">
        <v>206</v>
      </c>
      <c r="B194" s="7" t="s">
        <v>330</v>
      </c>
      <c r="C194" s="6" t="s">
        <v>28</v>
      </c>
      <c r="D194" s="6" t="n">
        <v>6</v>
      </c>
      <c r="E194" s="8" t="n">
        <v>1170</v>
      </c>
      <c r="F194" s="7" t="s">
        <v>327</v>
      </c>
      <c r="G194" s="9" t="n">
        <v>1200</v>
      </c>
      <c r="H194" s="9" t="n">
        <v>1700</v>
      </c>
      <c r="I194" s="10" t="n">
        <f aca="false">IF(E194=0,0,(E194-H194)/E194)</f>
        <v>-0.452991452991453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1960</v>
      </c>
      <c r="L194" s="8" t="n">
        <f aca="false">D194*E194</f>
        <v>7020</v>
      </c>
      <c r="M194" s="8" t="n">
        <f aca="false">D194*K194</f>
        <v>11760</v>
      </c>
      <c r="N194" s="8" t="n">
        <f aca="false">D194*H194</f>
        <v>10200</v>
      </c>
      <c r="O194" s="6" t="str">
        <f aca="false">IF(ISNUMBER(SEARCH(C194,F194)),"","YES")</f>
        <v>YES</v>
      </c>
      <c r="P194" s="6" t="s">
        <v>25</v>
      </c>
      <c r="Q194" s="7" t="s">
        <v>41</v>
      </c>
      <c r="R194" s="7"/>
    </row>
    <row r="195" customFormat="false" ht="15" hidden="false" customHeight="false" outlineLevel="0" collapsed="false">
      <c r="A195" s="6" t="n">
        <v>207</v>
      </c>
      <c r="B195" s="7" t="s">
        <v>331</v>
      </c>
      <c r="C195" s="6" t="s">
        <v>28</v>
      </c>
      <c r="D195" s="6" t="n">
        <v>4</v>
      </c>
      <c r="E195" s="8" t="n">
        <v>1430</v>
      </c>
      <c r="F195" s="7" t="s">
        <v>327</v>
      </c>
      <c r="G195" s="9" t="n">
        <v>1600</v>
      </c>
      <c r="H195" s="9" t="n">
        <v>2200</v>
      </c>
      <c r="I195" s="10" t="n">
        <f aca="false">IF(E195=0,0,(E195-H195)/E195)</f>
        <v>-0.538461538461538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2530</v>
      </c>
      <c r="L195" s="8" t="n">
        <f aca="false">D195*E195</f>
        <v>5720</v>
      </c>
      <c r="M195" s="8" t="n">
        <f aca="false">D195*K195</f>
        <v>10120</v>
      </c>
      <c r="N195" s="8" t="n">
        <f aca="false">D195*H195</f>
        <v>8800</v>
      </c>
      <c r="O195" s="6" t="str">
        <f aca="false">IF(ISNUMBER(SEARCH(C195,F195)),"","YES")</f>
        <v>YES</v>
      </c>
      <c r="P195" s="6" t="s">
        <v>25</v>
      </c>
      <c r="Q195" s="7" t="s">
        <v>41</v>
      </c>
      <c r="R195" s="7"/>
    </row>
    <row r="196" customFormat="false" ht="15" hidden="false" customHeight="false" outlineLevel="0" collapsed="false">
      <c r="A196" s="6" t="n">
        <v>208</v>
      </c>
      <c r="B196" s="7" t="s">
        <v>332</v>
      </c>
      <c r="C196" s="6" t="s">
        <v>28</v>
      </c>
      <c r="D196" s="6" t="n">
        <v>3</v>
      </c>
      <c r="E196" s="8" t="n">
        <v>1690</v>
      </c>
      <c r="F196" s="7" t="s">
        <v>327</v>
      </c>
      <c r="G196" s="9" t="n">
        <v>2000</v>
      </c>
      <c r="H196" s="9" t="n">
        <v>2800</v>
      </c>
      <c r="I196" s="10" t="n">
        <f aca="false">IF(E196=0,0,(E196-H196)/E196)</f>
        <v>-0.656804733727811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3220</v>
      </c>
      <c r="L196" s="8" t="n">
        <f aca="false">D196*E196</f>
        <v>5070</v>
      </c>
      <c r="M196" s="8" t="n">
        <f aca="false">D196*K196</f>
        <v>9660</v>
      </c>
      <c r="N196" s="8" t="n">
        <f aca="false">D196*H196</f>
        <v>8400</v>
      </c>
      <c r="O196" s="6" t="str">
        <f aca="false">IF(ISNUMBER(SEARCH(C196,F196)),"","YES")</f>
        <v>YES</v>
      </c>
      <c r="P196" s="6" t="s">
        <v>25</v>
      </c>
      <c r="Q196" s="7" t="s">
        <v>41</v>
      </c>
      <c r="R196" s="7"/>
    </row>
    <row r="197" customFormat="false" ht="15" hidden="false" customHeight="false" outlineLevel="0" collapsed="false">
      <c r="A197" s="6" t="n">
        <v>209</v>
      </c>
      <c r="B197" s="7" t="s">
        <v>333</v>
      </c>
      <c r="C197" s="6" t="s">
        <v>28</v>
      </c>
      <c r="D197" s="6" t="n">
        <v>3</v>
      </c>
      <c r="E197" s="8" t="n">
        <v>2340</v>
      </c>
      <c r="F197" s="7" t="s">
        <v>327</v>
      </c>
      <c r="G197" s="9" t="n">
        <v>3000</v>
      </c>
      <c r="H197" s="9" t="n">
        <v>4000</v>
      </c>
      <c r="I197" s="10" t="n">
        <f aca="false">IF(E197=0,0,(E197-H197)/E197)</f>
        <v>-0.709401709401709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4600</v>
      </c>
      <c r="L197" s="8" t="n">
        <f aca="false">D197*E197</f>
        <v>7020</v>
      </c>
      <c r="M197" s="8" t="n">
        <f aca="false">D197*K197</f>
        <v>13800</v>
      </c>
      <c r="N197" s="8" t="n">
        <f aca="false">D197*H197</f>
        <v>12000</v>
      </c>
      <c r="O197" s="6" t="str">
        <f aca="false">IF(ISNUMBER(SEARCH(C197,F197)),"","YES")</f>
        <v>YES</v>
      </c>
      <c r="P197" s="6" t="s">
        <v>25</v>
      </c>
      <c r="Q197" s="7" t="s">
        <v>41</v>
      </c>
      <c r="R197" s="7"/>
    </row>
    <row r="198" customFormat="false" ht="15" hidden="false" customHeight="false" outlineLevel="0" collapsed="false">
      <c r="A198" s="6" t="n">
        <v>210</v>
      </c>
      <c r="B198" s="7" t="s">
        <v>334</v>
      </c>
      <c r="C198" s="6" t="s">
        <v>28</v>
      </c>
      <c r="D198" s="6" t="n">
        <v>2</v>
      </c>
      <c r="E198" s="8" t="n">
        <v>2860</v>
      </c>
      <c r="F198" s="7" t="s">
        <v>327</v>
      </c>
      <c r="G198" s="9" t="n">
        <v>3700</v>
      </c>
      <c r="H198" s="9" t="n">
        <v>4800</v>
      </c>
      <c r="I198" s="10" t="n">
        <f aca="false">IF(E198=0,0,(E198-H198)/E198)</f>
        <v>-0.678321678321678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5520</v>
      </c>
      <c r="L198" s="8" t="n">
        <f aca="false">D198*E198</f>
        <v>5720</v>
      </c>
      <c r="M198" s="8" t="n">
        <f aca="false">D198*K198</f>
        <v>11040</v>
      </c>
      <c r="N198" s="8" t="n">
        <f aca="false">D198*H198</f>
        <v>9600</v>
      </c>
      <c r="O198" s="6" t="str">
        <f aca="false">IF(ISNUMBER(SEARCH(C198,F198)),"","YES")</f>
        <v>YES</v>
      </c>
      <c r="P198" s="6" t="s">
        <v>25</v>
      </c>
      <c r="Q198" s="7" t="s">
        <v>41</v>
      </c>
      <c r="R198" s="7"/>
    </row>
    <row r="199" customFormat="false" ht="15" hidden="false" customHeight="false" outlineLevel="0" collapsed="false">
      <c r="A199" s="6" t="n">
        <v>211</v>
      </c>
      <c r="B199" s="7" t="s">
        <v>335</v>
      </c>
      <c r="C199" s="6" t="s">
        <v>28</v>
      </c>
      <c r="D199" s="6" t="n">
        <v>1</v>
      </c>
      <c r="E199" s="8" t="n">
        <v>4160</v>
      </c>
      <c r="F199" s="7" t="s">
        <v>327</v>
      </c>
      <c r="G199" s="9" t="n">
        <v>5200</v>
      </c>
      <c r="H199" s="9" t="n">
        <v>7000</v>
      </c>
      <c r="I199" s="10" t="n">
        <f aca="false">IF(E199=0,0,(E199-H199)/E199)</f>
        <v>-0.682692307692308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8050</v>
      </c>
      <c r="L199" s="8" t="n">
        <f aca="false">D199*E199</f>
        <v>4160</v>
      </c>
      <c r="M199" s="8" t="n">
        <f aca="false">D199*K199</f>
        <v>8050</v>
      </c>
      <c r="N199" s="8" t="n">
        <f aca="false">D199*H199</f>
        <v>7000</v>
      </c>
      <c r="O199" s="6" t="str">
        <f aca="false">IF(ISNUMBER(SEARCH(C199,F199)),"","YES")</f>
        <v>YES</v>
      </c>
      <c r="P199" s="6" t="s">
        <v>25</v>
      </c>
      <c r="Q199" s="7" t="s">
        <v>41</v>
      </c>
      <c r="R199" s="7"/>
    </row>
    <row r="200" customFormat="false" ht="15" hidden="false" customHeight="false" outlineLevel="0" collapsed="false">
      <c r="A200" s="6" t="n">
        <v>212</v>
      </c>
      <c r="B200" s="7" t="s">
        <v>336</v>
      </c>
      <c r="C200" s="6" t="s">
        <v>28</v>
      </c>
      <c r="D200" s="6" t="n">
        <v>1</v>
      </c>
      <c r="E200" s="8" t="n">
        <v>5460</v>
      </c>
      <c r="F200" s="7" t="s">
        <v>327</v>
      </c>
      <c r="G200" s="9" t="n">
        <v>6500</v>
      </c>
      <c r="H200" s="9" t="n">
        <v>8500</v>
      </c>
      <c r="I200" s="10" t="n">
        <f aca="false">IF(E200=0,0,(E200-H200)/E200)</f>
        <v>-0.556776556776557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9780</v>
      </c>
      <c r="L200" s="8" t="n">
        <f aca="false">D200*E200</f>
        <v>5460</v>
      </c>
      <c r="M200" s="8" t="n">
        <f aca="false">D200*K200</f>
        <v>9780</v>
      </c>
      <c r="N200" s="8" t="n">
        <f aca="false">D200*H200</f>
        <v>8500</v>
      </c>
      <c r="O200" s="6" t="str">
        <f aca="false">IF(ISNUMBER(SEARCH(C200,F200)),"","YES")</f>
        <v>YES</v>
      </c>
      <c r="P200" s="6" t="s">
        <v>25</v>
      </c>
      <c r="Q200" s="7" t="s">
        <v>41</v>
      </c>
      <c r="R200" s="7"/>
    </row>
    <row r="201" customFormat="false" ht="15" hidden="false" customHeight="false" outlineLevel="0" collapsed="false">
      <c r="A201" s="6" t="n">
        <v>213</v>
      </c>
      <c r="B201" s="7" t="s">
        <v>337</v>
      </c>
      <c r="C201" s="6" t="s">
        <v>28</v>
      </c>
      <c r="D201" s="6" t="n">
        <v>2</v>
      </c>
      <c r="E201" s="8" t="n">
        <v>455</v>
      </c>
      <c r="F201" s="7" t="s">
        <v>37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25</v>
      </c>
      <c r="Q201" s="7" t="s">
        <v>41</v>
      </c>
      <c r="R201" s="7"/>
    </row>
    <row r="202" customFormat="false" ht="15" hidden="false" customHeight="false" outlineLevel="0" collapsed="false">
      <c r="A202" s="6" t="n">
        <v>214</v>
      </c>
      <c r="B202" s="7" t="s">
        <v>338</v>
      </c>
      <c r="C202" s="6" t="s">
        <v>28</v>
      </c>
      <c r="D202" s="6" t="n">
        <v>2</v>
      </c>
      <c r="E202" s="8" t="n">
        <v>494</v>
      </c>
      <c r="F202" s="7" t="s">
        <v>37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25</v>
      </c>
      <c r="Q202" s="7" t="s">
        <v>41</v>
      </c>
      <c r="R202" s="7"/>
    </row>
    <row r="203" customFormat="false" ht="15" hidden="false" customHeight="false" outlineLevel="0" collapsed="false">
      <c r="A203" s="6" t="n">
        <v>215</v>
      </c>
      <c r="B203" s="7" t="s">
        <v>339</v>
      </c>
      <c r="C203" s="6" t="s">
        <v>28</v>
      </c>
      <c r="D203" s="6" t="n">
        <v>2</v>
      </c>
      <c r="E203" s="8" t="n">
        <v>585</v>
      </c>
      <c r="F203" s="7" t="s">
        <v>37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25</v>
      </c>
      <c r="Q203" s="7" t="s">
        <v>41</v>
      </c>
      <c r="R203" s="7"/>
    </row>
    <row r="204" customFormat="false" ht="15" hidden="false" customHeight="false" outlineLevel="0" collapsed="false">
      <c r="A204" s="6" t="n">
        <v>216</v>
      </c>
      <c r="B204" s="7" t="s">
        <v>340</v>
      </c>
      <c r="C204" s="6" t="s">
        <v>28</v>
      </c>
      <c r="D204" s="6" t="n">
        <v>2</v>
      </c>
      <c r="E204" s="8" t="n">
        <v>715</v>
      </c>
      <c r="F204" s="7" t="s">
        <v>37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25</v>
      </c>
      <c r="Q204" s="7" t="s">
        <v>41</v>
      </c>
      <c r="R204" s="7"/>
    </row>
    <row r="205" customFormat="false" ht="15" hidden="false" customHeight="false" outlineLevel="0" collapsed="false">
      <c r="A205" s="6" t="n">
        <v>217</v>
      </c>
      <c r="B205" s="7" t="s">
        <v>341</v>
      </c>
      <c r="C205" s="6" t="s">
        <v>28</v>
      </c>
      <c r="D205" s="6" t="n">
        <v>2</v>
      </c>
      <c r="E205" s="8" t="n">
        <v>910</v>
      </c>
      <c r="F205" s="7" t="s">
        <v>37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25</v>
      </c>
      <c r="Q205" s="7" t="s">
        <v>41</v>
      </c>
      <c r="R205" s="7"/>
    </row>
    <row r="206" customFormat="false" ht="15" hidden="false" customHeight="false" outlineLevel="0" collapsed="false">
      <c r="A206" s="6" t="n">
        <v>218</v>
      </c>
      <c r="B206" s="7" t="s">
        <v>342</v>
      </c>
      <c r="C206" s="6" t="s">
        <v>28</v>
      </c>
      <c r="D206" s="6" t="n">
        <v>2</v>
      </c>
      <c r="E206" s="8" t="n">
        <v>1170</v>
      </c>
      <c r="F206" s="7" t="s">
        <v>37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25</v>
      </c>
      <c r="Q206" s="7" t="s">
        <v>41</v>
      </c>
      <c r="R206" s="7"/>
    </row>
    <row r="207" customFormat="false" ht="15" hidden="false" customHeight="false" outlineLevel="0" collapsed="false">
      <c r="A207" s="6" t="n">
        <v>219</v>
      </c>
      <c r="B207" s="7" t="s">
        <v>343</v>
      </c>
      <c r="C207" s="6" t="s">
        <v>28</v>
      </c>
      <c r="D207" s="6" t="n">
        <v>1</v>
      </c>
      <c r="E207" s="8" t="n">
        <v>1040</v>
      </c>
      <c r="F207" s="7" t="s">
        <v>37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25</v>
      </c>
      <c r="Q207" s="7" t="s">
        <v>41</v>
      </c>
      <c r="R207" s="7"/>
    </row>
    <row r="208" customFormat="false" ht="15" hidden="false" customHeight="false" outlineLevel="0" collapsed="false">
      <c r="A208" s="6" t="n">
        <v>220</v>
      </c>
      <c r="B208" s="7" t="s">
        <v>344</v>
      </c>
      <c r="C208" s="6" t="s">
        <v>28</v>
      </c>
      <c r="D208" s="6" t="n">
        <v>1</v>
      </c>
      <c r="E208" s="8" t="n">
        <v>1430</v>
      </c>
      <c r="F208" s="7" t="s">
        <v>37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25</v>
      </c>
      <c r="Q208" s="7" t="s">
        <v>41</v>
      </c>
      <c r="R208" s="7"/>
    </row>
    <row r="209" customFormat="false" ht="15" hidden="false" customHeight="false" outlineLevel="0" collapsed="false">
      <c r="A209" s="6" t="n">
        <v>221</v>
      </c>
      <c r="B209" s="7" t="s">
        <v>345</v>
      </c>
      <c r="C209" s="6" t="s">
        <v>28</v>
      </c>
      <c r="D209" s="6" t="n">
        <v>1</v>
      </c>
      <c r="E209" s="8" t="n">
        <v>1950</v>
      </c>
      <c r="F209" s="7" t="s">
        <v>37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25</v>
      </c>
      <c r="Q209" s="7" t="s">
        <v>41</v>
      </c>
      <c r="R209" s="7"/>
    </row>
    <row r="210" customFormat="false" ht="15" hidden="false" customHeight="false" outlineLevel="0" collapsed="false">
      <c r="A210" s="6" t="n">
        <v>222</v>
      </c>
      <c r="B210" s="7" t="s">
        <v>346</v>
      </c>
      <c r="C210" s="6" t="s">
        <v>28</v>
      </c>
      <c r="D210" s="6" t="n">
        <v>1</v>
      </c>
      <c r="E210" s="8" t="n">
        <v>15600</v>
      </c>
      <c r="F210" s="7" t="s">
        <v>347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25</v>
      </c>
      <c r="Q210" s="7" t="s">
        <v>41</v>
      </c>
      <c r="R210" s="7" t="s">
        <v>348</v>
      </c>
    </row>
    <row r="211" customFormat="false" ht="15" hidden="false" customHeight="false" outlineLevel="0" collapsed="false">
      <c r="A211" s="6" t="n">
        <v>223</v>
      </c>
      <c r="B211" s="7" t="s">
        <v>349</v>
      </c>
      <c r="C211" s="6" t="s">
        <v>28</v>
      </c>
      <c r="D211" s="6" t="n">
        <v>2</v>
      </c>
      <c r="E211" s="8" t="n">
        <v>30940</v>
      </c>
      <c r="F211" s="7" t="s">
        <v>350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45</v>
      </c>
      <c r="Q211" s="7" t="s">
        <v>351</v>
      </c>
      <c r="R211" s="7" t="s">
        <v>352</v>
      </c>
    </row>
    <row r="212" customFormat="false" ht="15" hidden="false" customHeight="false" outlineLevel="0" collapsed="false">
      <c r="A212" s="6" t="n">
        <v>224</v>
      </c>
      <c r="B212" s="7" t="s">
        <v>353</v>
      </c>
      <c r="C212" s="6" t="s">
        <v>28</v>
      </c>
      <c r="D212" s="6" t="n">
        <v>2</v>
      </c>
      <c r="E212" s="8" t="n">
        <v>54600</v>
      </c>
      <c r="F212" s="7" t="s">
        <v>354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25</v>
      </c>
      <c r="Q212" s="7" t="s">
        <v>355</v>
      </c>
      <c r="R212" s="7" t="s">
        <v>356</v>
      </c>
    </row>
    <row r="213" customFormat="false" ht="15" hidden="false" customHeight="false" outlineLevel="0" collapsed="false">
      <c r="A213" s="6" t="n">
        <v>225</v>
      </c>
      <c r="B213" s="7" t="s">
        <v>357</v>
      </c>
      <c r="C213" s="6" t="s">
        <v>28</v>
      </c>
      <c r="D213" s="6" t="n">
        <v>24</v>
      </c>
      <c r="E213" s="8" t="n">
        <v>1170</v>
      </c>
      <c r="F213" s="7" t="s">
        <v>358</v>
      </c>
      <c r="G213" s="9" t="n">
        <v>1000</v>
      </c>
      <c r="H213" s="9" t="n">
        <v>1400</v>
      </c>
      <c r="I213" s="10" t="n">
        <f aca="false">IF(E213=0,0,(E213-H213)/E213)</f>
        <v>-0.196581196581197</v>
      </c>
      <c r="J213" s="6" t="str">
        <f aca="false">IF(E213&lt;G213,"LOSS",IF(E213&lt;H213*1.1,"THIN / RISK",IF(E213&gt;H213*1.8,"OVERPRICED?","OK")))</f>
        <v>THIN / RISK</v>
      </c>
      <c r="K213" s="8" t="n">
        <f aca="false">IF(J213="OVERPRICED?",ROUND(H213*1.35,-1),MAX(E213,ROUND(H213*(1+$E$3),-1)))</f>
        <v>1610</v>
      </c>
      <c r="L213" s="8" t="n">
        <f aca="false">D213*E213</f>
        <v>28080</v>
      </c>
      <c r="M213" s="8" t="n">
        <f aca="false">D213*K213</f>
        <v>38640</v>
      </c>
      <c r="N213" s="8" t="n">
        <f aca="false">D213*H213</f>
        <v>33600</v>
      </c>
      <c r="O213" s="6" t="str">
        <f aca="false">IF(ISNUMBER(SEARCH(C213,F213)),"","YES")</f>
        <v>YES</v>
      </c>
      <c r="P213" s="6" t="s">
        <v>25</v>
      </c>
      <c r="Q213" s="7" t="s">
        <v>41</v>
      </c>
      <c r="R213" s="7"/>
    </row>
    <row r="214" customFormat="false" ht="15" hidden="false" customHeight="false" outlineLevel="0" collapsed="false">
      <c r="A214" s="6" t="n">
        <v>226</v>
      </c>
      <c r="B214" s="7" t="s">
        <v>359</v>
      </c>
      <c r="C214" s="6" t="s">
        <v>28</v>
      </c>
      <c r="D214" s="6" t="n">
        <v>24</v>
      </c>
      <c r="E214" s="8" t="n">
        <v>1430</v>
      </c>
      <c r="F214" s="7" t="s">
        <v>358</v>
      </c>
      <c r="G214" s="9" t="n">
        <v>1400</v>
      </c>
      <c r="H214" s="9" t="n">
        <v>1900</v>
      </c>
      <c r="I214" s="10" t="n">
        <f aca="false">IF(E214=0,0,(E214-H214)/E214)</f>
        <v>-0.328671328671329</v>
      </c>
      <c r="J214" s="6" t="str">
        <f aca="false">IF(E214&lt;G214,"LOSS",IF(E214&lt;H214*1.1,"THIN / RISK",IF(E214&gt;H214*1.8,"OVERPRICED?","OK")))</f>
        <v>THIN / RISK</v>
      </c>
      <c r="K214" s="8" t="n">
        <f aca="false">IF(J214="OVERPRICED?",ROUND(H214*1.35,-1),MAX(E214,ROUND(H214*(1+$E$3),-1)))</f>
        <v>2190</v>
      </c>
      <c r="L214" s="8" t="n">
        <f aca="false">D214*E214</f>
        <v>34320</v>
      </c>
      <c r="M214" s="8" t="n">
        <f aca="false">D214*K214</f>
        <v>52560</v>
      </c>
      <c r="N214" s="8" t="n">
        <f aca="false">D214*H214</f>
        <v>45600</v>
      </c>
      <c r="O214" s="6" t="str">
        <f aca="false">IF(ISNUMBER(SEARCH(C214,F214)),"","YES")</f>
        <v>YES</v>
      </c>
      <c r="P214" s="6" t="s">
        <v>25</v>
      </c>
      <c r="Q214" s="7" t="s">
        <v>41</v>
      </c>
      <c r="R214" s="7"/>
    </row>
    <row r="215" customFormat="false" ht="15" hidden="false" customHeight="false" outlineLevel="0" collapsed="false">
      <c r="A215" s="6" t="n">
        <v>227</v>
      </c>
      <c r="B215" s="7" t="s">
        <v>360</v>
      </c>
      <c r="C215" s="6" t="s">
        <v>28</v>
      </c>
      <c r="D215" s="6" t="n">
        <v>24</v>
      </c>
      <c r="E215" s="8" t="n">
        <v>1820</v>
      </c>
      <c r="F215" s="7" t="s">
        <v>358</v>
      </c>
      <c r="G215" s="9" t="n">
        <v>1900</v>
      </c>
      <c r="H215" s="9" t="n">
        <v>2600</v>
      </c>
      <c r="I215" s="10" t="n">
        <f aca="false">IF(E215=0,0,(E215-H215)/E215)</f>
        <v>-0.428571428571429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2990</v>
      </c>
      <c r="L215" s="8" t="n">
        <f aca="false">D215*E215</f>
        <v>43680</v>
      </c>
      <c r="M215" s="8" t="n">
        <f aca="false">D215*K215</f>
        <v>71760</v>
      </c>
      <c r="N215" s="8" t="n">
        <f aca="false">D215*H215</f>
        <v>62400</v>
      </c>
      <c r="O215" s="6" t="str">
        <f aca="false">IF(ISNUMBER(SEARCH(C215,F215)),"","YES")</f>
        <v>YES</v>
      </c>
      <c r="P215" s="6" t="s">
        <v>25</v>
      </c>
      <c r="Q215" s="7" t="s">
        <v>41</v>
      </c>
      <c r="R215" s="7"/>
    </row>
    <row r="216" customFormat="false" ht="15" hidden="false" customHeight="false" outlineLevel="0" collapsed="false">
      <c r="A216" s="6" t="n">
        <v>228</v>
      </c>
      <c r="B216" s="7" t="s">
        <v>361</v>
      </c>
      <c r="C216" s="6" t="s">
        <v>28</v>
      </c>
      <c r="D216" s="6" t="n">
        <v>24</v>
      </c>
      <c r="E216" s="8" t="n">
        <v>2860</v>
      </c>
      <c r="F216" s="7" t="s">
        <v>358</v>
      </c>
      <c r="G216" s="9" t="n">
        <v>3200</v>
      </c>
      <c r="H216" s="9" t="n">
        <v>4200</v>
      </c>
      <c r="I216" s="10" t="n">
        <f aca="false">IF(E216=0,0,(E216-H216)/E216)</f>
        <v>-0.468531468531469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4830</v>
      </c>
      <c r="L216" s="8" t="n">
        <f aca="false">D216*E216</f>
        <v>68640</v>
      </c>
      <c r="M216" s="8" t="n">
        <f aca="false">D216*K216</f>
        <v>115920</v>
      </c>
      <c r="N216" s="8" t="n">
        <f aca="false">D216*H216</f>
        <v>100800</v>
      </c>
      <c r="O216" s="6" t="str">
        <f aca="false">IF(ISNUMBER(SEARCH(C216,F216)),"","YES")</f>
        <v>YES</v>
      </c>
      <c r="P216" s="6" t="s">
        <v>25</v>
      </c>
      <c r="Q216" s="7" t="s">
        <v>41</v>
      </c>
      <c r="R216" s="7"/>
    </row>
    <row r="217" customFormat="false" ht="15" hidden="false" customHeight="false" outlineLevel="0" collapsed="false">
      <c r="A217" s="6" t="n">
        <v>229</v>
      </c>
      <c r="B217" s="7" t="s">
        <v>362</v>
      </c>
      <c r="C217" s="6" t="s">
        <v>28</v>
      </c>
      <c r="D217" s="6" t="n">
        <v>24</v>
      </c>
      <c r="E217" s="8" t="n">
        <v>2340</v>
      </c>
      <c r="F217" s="7" t="s">
        <v>358</v>
      </c>
      <c r="G217" s="9" t="n">
        <v>1800</v>
      </c>
      <c r="H217" s="9" t="n">
        <v>2600</v>
      </c>
      <c r="I217" s="10" t="n">
        <f aca="false">IF(E217=0,0,(E217-H217)/E217)</f>
        <v>-0.111111111111111</v>
      </c>
      <c r="J217" s="6" t="str">
        <f aca="false">IF(E217&lt;G217,"LOSS",IF(E217&lt;H217*1.1,"THIN / RISK",IF(E217&gt;H217*1.8,"OVERPRICED?","OK")))</f>
        <v>THIN / RISK</v>
      </c>
      <c r="K217" s="8" t="n">
        <f aca="false">IF(J217="OVERPRICED?",ROUND(H217*1.35,-1),MAX(E217,ROUND(H217*(1+$E$3),-1)))</f>
        <v>2990</v>
      </c>
      <c r="L217" s="8" t="n">
        <f aca="false">D217*E217</f>
        <v>56160</v>
      </c>
      <c r="M217" s="8" t="n">
        <f aca="false">D217*K217</f>
        <v>71760</v>
      </c>
      <c r="N217" s="8" t="n">
        <f aca="false">D217*H217</f>
        <v>62400</v>
      </c>
      <c r="O217" s="6" t="str">
        <f aca="false">IF(ISNUMBER(SEARCH(C217,F217)),"","YES")</f>
        <v>YES</v>
      </c>
      <c r="P217" s="6" t="s">
        <v>25</v>
      </c>
      <c r="Q217" s="7" t="s">
        <v>41</v>
      </c>
      <c r="R217" s="7"/>
    </row>
    <row r="218" customFormat="false" ht="22.35" hidden="false" customHeight="false" outlineLevel="0" collapsed="false">
      <c r="A218" s="6" t="n">
        <v>230</v>
      </c>
      <c r="B218" s="7" t="s">
        <v>363</v>
      </c>
      <c r="C218" s="6" t="s">
        <v>28</v>
      </c>
      <c r="D218" s="6" t="n">
        <v>1</v>
      </c>
      <c r="E218" s="8" t="n">
        <v>9750</v>
      </c>
      <c r="F218" s="7" t="s">
        <v>364</v>
      </c>
      <c r="G218" s="9" t="n">
        <v>6000</v>
      </c>
      <c r="H218" s="9" t="n">
        <v>8500</v>
      </c>
      <c r="I218" s="10" t="n">
        <f aca="false">IF(E218=0,0,(E218-H218)/E218)</f>
        <v>0.128205128205128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9780</v>
      </c>
      <c r="L218" s="8" t="n">
        <f aca="false">D218*E218</f>
        <v>9750</v>
      </c>
      <c r="M218" s="8" t="n">
        <f aca="false">D218*K218</f>
        <v>9780</v>
      </c>
      <c r="N218" s="8" t="n">
        <f aca="false">D218*H218</f>
        <v>8500</v>
      </c>
      <c r="O218" s="6" t="str">
        <f aca="false">IF(ISNUMBER(SEARCH(C218,F218)),"","YES")</f>
        <v>YES</v>
      </c>
      <c r="P218" s="6" t="s">
        <v>45</v>
      </c>
      <c r="Q218" s="7" t="s">
        <v>365</v>
      </c>
      <c r="R218" s="7"/>
    </row>
    <row r="219" customFormat="false" ht="15" hidden="false" customHeight="false" outlineLevel="0" collapsed="false">
      <c r="A219" s="6" t="n">
        <v>231</v>
      </c>
      <c r="B219" s="7" t="s">
        <v>366</v>
      </c>
      <c r="C219" s="6" t="s">
        <v>28</v>
      </c>
      <c r="D219" s="6" t="n">
        <v>1</v>
      </c>
      <c r="E219" s="8" t="n">
        <v>12350</v>
      </c>
      <c r="F219" s="7" t="s">
        <v>367</v>
      </c>
      <c r="G219" s="9" t="n">
        <v>8000</v>
      </c>
      <c r="H219" s="9" t="n">
        <v>11000</v>
      </c>
      <c r="I219" s="10" t="n">
        <f aca="false">IF(E219=0,0,(E219-H219)/E219)</f>
        <v>0.109311740890688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12650</v>
      </c>
      <c r="L219" s="8" t="n">
        <f aca="false">D219*E219</f>
        <v>12350</v>
      </c>
      <c r="M219" s="8" t="n">
        <f aca="false">D219*K219</f>
        <v>12650</v>
      </c>
      <c r="N219" s="8" t="n">
        <f aca="false">D219*H219</f>
        <v>11000</v>
      </c>
      <c r="O219" s="6" t="str">
        <f aca="false">IF(ISNUMBER(SEARCH(C219,F219)),"","YES")</f>
        <v>YES</v>
      </c>
      <c r="P219" s="6" t="s">
        <v>45</v>
      </c>
      <c r="Q219" s="7" t="s">
        <v>368</v>
      </c>
      <c r="R219" s="7"/>
    </row>
    <row r="220" customFormat="false" ht="22.35" hidden="false" customHeight="false" outlineLevel="0" collapsed="false">
      <c r="A220" s="6" t="n">
        <v>233</v>
      </c>
      <c r="B220" s="7" t="s">
        <v>369</v>
      </c>
      <c r="C220" s="6" t="s">
        <v>106</v>
      </c>
      <c r="D220" s="6" t="n">
        <v>2</v>
      </c>
      <c r="E220" s="8" t="n">
        <v>52000</v>
      </c>
      <c r="F220" s="7" t="s">
        <v>370</v>
      </c>
      <c r="G220" s="9" t="n">
        <v>38340</v>
      </c>
      <c r="H220" s="9" t="n">
        <v>85000</v>
      </c>
      <c r="I220" s="10" t="n">
        <f aca="false">IF(E220=0,0,(E220-H220)/E220)</f>
        <v>-0.634615384615385</v>
      </c>
      <c r="J220" s="6" t="str">
        <f aca="false">IF(E220&lt;G220,"LOSS",IF(E220&lt;H220*1.1,"THIN / RISK",IF(E220&gt;H220*1.8,"OVERPRICED?","OK")))</f>
        <v>THIN / RISK</v>
      </c>
      <c r="K220" s="8" t="n">
        <f aca="false">IF(J220="OVERPRICED?",ROUND(H220*1.35,-1),MAX(E220,ROUND(H220*(1+$E$3),-1)))</f>
        <v>97750</v>
      </c>
      <c r="L220" s="8" t="n">
        <f aca="false">D220*E220</f>
        <v>104000</v>
      </c>
      <c r="M220" s="8" t="n">
        <f aca="false">D220*K220</f>
        <v>195500</v>
      </c>
      <c r="N220" s="8" t="n">
        <f aca="false">D220*H220</f>
        <v>170000</v>
      </c>
      <c r="O220" s="6" t="str">
        <f aca="false">IF(ISNUMBER(SEARCH(C220,F220)),"","YES")</f>
        <v>YES</v>
      </c>
      <c r="P220" s="6" t="s">
        <v>57</v>
      </c>
      <c r="Q220" s="7" t="s">
        <v>371</v>
      </c>
      <c r="R220" s="7" t="s">
        <v>372</v>
      </c>
    </row>
    <row r="221" customFormat="false" ht="15" hidden="false" customHeight="false" outlineLevel="0" collapsed="false">
      <c r="A221" s="6" t="n">
        <v>234</v>
      </c>
      <c r="B221" s="7" t="s">
        <v>373</v>
      </c>
      <c r="C221" s="6" t="s">
        <v>23</v>
      </c>
      <c r="D221" s="6" t="n">
        <v>3</v>
      </c>
      <c r="E221" s="8" t="n">
        <v>3094</v>
      </c>
      <c r="F221" s="7" t="s">
        <v>23</v>
      </c>
      <c r="G221" s="9" t="n">
        <v>1800</v>
      </c>
      <c r="H221" s="9" t="n">
        <v>2600</v>
      </c>
      <c r="I221" s="10" t="n">
        <f aca="false">IF(E221=0,0,(E221-H221)/E221)</f>
        <v>0.159663865546218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7800</v>
      </c>
      <c r="O221" s="6" t="str">
        <f aca="false">IF(ISNUMBER(SEARCH(C221,F221)),"","YES")</f>
        <v/>
      </c>
      <c r="P221" s="6" t="s">
        <v>25</v>
      </c>
      <c r="Q221" s="7" t="s">
        <v>41</v>
      </c>
      <c r="R221" s="7"/>
    </row>
    <row r="222" customFormat="false" ht="15" hidden="false" customHeight="false" outlineLevel="0" collapsed="false">
      <c r="A222" s="6" t="n">
        <v>235</v>
      </c>
      <c r="B222" s="7" t="s">
        <v>374</v>
      </c>
      <c r="C222" s="6" t="s">
        <v>28</v>
      </c>
      <c r="D222" s="6" t="n">
        <v>3</v>
      </c>
      <c r="E222" s="8" t="n">
        <v>2860</v>
      </c>
      <c r="F222" s="7" t="s">
        <v>23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25</v>
      </c>
      <c r="Q222" s="7" t="s">
        <v>41</v>
      </c>
      <c r="R222" s="7"/>
    </row>
    <row r="223" customFormat="false" ht="15" hidden="false" customHeight="false" outlineLevel="0" collapsed="false">
      <c r="A223" s="6" t="n">
        <v>236</v>
      </c>
      <c r="B223" s="7" t="s">
        <v>375</v>
      </c>
      <c r="C223" s="6" t="s">
        <v>23</v>
      </c>
      <c r="D223" s="6" t="n">
        <v>200</v>
      </c>
      <c r="E223" s="8" t="n">
        <v>2860</v>
      </c>
      <c r="F223" s="7" t="s">
        <v>376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25</v>
      </c>
      <c r="Q223" s="7" t="s">
        <v>227</v>
      </c>
      <c r="R223" s="7" t="s">
        <v>377</v>
      </c>
    </row>
    <row r="224" customFormat="false" ht="15" hidden="false" customHeight="false" outlineLevel="0" collapsed="false">
      <c r="A224" s="6" t="n">
        <v>237</v>
      </c>
      <c r="B224" s="7" t="s">
        <v>378</v>
      </c>
      <c r="C224" s="6" t="s">
        <v>28</v>
      </c>
      <c r="D224" s="6" t="n">
        <v>24</v>
      </c>
      <c r="E224" s="8" t="n">
        <v>845</v>
      </c>
      <c r="F224" s="7" t="s">
        <v>23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25</v>
      </c>
      <c r="Q224" s="7" t="s">
        <v>41</v>
      </c>
      <c r="R224" s="7"/>
    </row>
    <row r="225" customFormat="false" ht="15" hidden="false" customHeight="false" outlineLevel="0" collapsed="false">
      <c r="A225" s="6" t="n">
        <v>238</v>
      </c>
      <c r="B225" s="7" t="s">
        <v>379</v>
      </c>
      <c r="C225" s="6" t="s">
        <v>28</v>
      </c>
      <c r="D225" s="6" t="n">
        <v>6</v>
      </c>
      <c r="E225" s="8" t="n">
        <v>8450</v>
      </c>
      <c r="F225" s="7" t="s">
        <v>380</v>
      </c>
      <c r="G225" s="9" t="n">
        <v>6000</v>
      </c>
      <c r="H225" s="9" t="n">
        <v>9000</v>
      </c>
      <c r="I225" s="10" t="n">
        <f aca="false">IF(E225=0,0,(E225-H225)/E225)</f>
        <v>-0.0650887573964497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10350</v>
      </c>
      <c r="L225" s="8" t="n">
        <f aca="false">D225*E225</f>
        <v>50700</v>
      </c>
      <c r="M225" s="8" t="n">
        <f aca="false">D225*K225</f>
        <v>62100</v>
      </c>
      <c r="N225" s="8" t="n">
        <f aca="false">D225*H225</f>
        <v>54000</v>
      </c>
      <c r="O225" s="6" t="str">
        <f aca="false">IF(ISNUMBER(SEARCH(C225,F225)),"","YES")</f>
        <v>YES</v>
      </c>
      <c r="P225" s="6" t="s">
        <v>25</v>
      </c>
      <c r="Q225" s="7" t="s">
        <v>41</v>
      </c>
      <c r="R225" s="7" t="s">
        <v>381</v>
      </c>
    </row>
    <row r="226" customFormat="false" ht="22.35" hidden="false" customHeight="false" outlineLevel="0" collapsed="false">
      <c r="A226" s="6" t="n">
        <v>239</v>
      </c>
      <c r="B226" s="7" t="s">
        <v>382</v>
      </c>
      <c r="C226" s="6" t="s">
        <v>106</v>
      </c>
      <c r="D226" s="6" t="n">
        <v>50</v>
      </c>
      <c r="E226" s="8" t="n">
        <v>65000</v>
      </c>
      <c r="F226" s="7" t="s">
        <v>383</v>
      </c>
      <c r="G226" s="9" t="n">
        <v>43200</v>
      </c>
      <c r="H226" s="9" t="n">
        <v>50460</v>
      </c>
      <c r="I226" s="10" t="n">
        <f aca="false">IF(E226=0,0,(E226-H226)/E226)</f>
        <v>0.223692307692308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2523000</v>
      </c>
      <c r="O226" s="6" t="str">
        <f aca="false">IF(ISNUMBER(SEARCH(C226,F226)),"","YES")</f>
        <v>YES</v>
      </c>
      <c r="P226" s="6" t="s">
        <v>57</v>
      </c>
      <c r="Q226" s="7" t="s">
        <v>384</v>
      </c>
      <c r="R226" s="7" t="s">
        <v>385</v>
      </c>
    </row>
    <row r="227" customFormat="false" ht="15" hidden="false" customHeight="false" outlineLevel="0" collapsed="false">
      <c r="A227" s="6" t="n">
        <v>240</v>
      </c>
      <c r="B227" s="7" t="s">
        <v>386</v>
      </c>
      <c r="C227" s="6" t="s">
        <v>28</v>
      </c>
      <c r="D227" s="6" t="n">
        <v>50</v>
      </c>
      <c r="E227" s="8" t="n">
        <v>325</v>
      </c>
      <c r="F227" s="7" t="s">
        <v>37</v>
      </c>
      <c r="G227" s="9" t="n">
        <v>150</v>
      </c>
      <c r="H227" s="9" t="n">
        <v>250</v>
      </c>
      <c r="I227" s="10" t="n">
        <f aca="false">IF(E227=0,0,(E227-H227)/E227)</f>
        <v>0.230769230769231</v>
      </c>
      <c r="J227" s="6" t="str">
        <f aca="false">IF(E227&lt;G227,"LOSS",IF(E227&lt;H227*1.1,"THIN / RISK",IF(E227&gt;H227*1.8,"OVERPRICED?","OK")))</f>
        <v>OK</v>
      </c>
      <c r="K227" s="8" t="n">
        <f aca="false">IF(J227="OVERPRICED?",ROUND(H227*1.35,-1),MAX(E227,ROUND(H227*(1+$E$3),-1)))</f>
        <v>325</v>
      </c>
      <c r="L227" s="8" t="n">
        <f aca="false">D227*E227</f>
        <v>16250</v>
      </c>
      <c r="M227" s="8" t="n">
        <f aca="false">D227*K227</f>
        <v>16250</v>
      </c>
      <c r="N227" s="8" t="n">
        <f aca="false">D227*H227</f>
        <v>12500</v>
      </c>
      <c r="O227" s="6" t="str">
        <f aca="false">IF(ISNUMBER(SEARCH(C227,F227)),"","YES")</f>
        <v>YES</v>
      </c>
      <c r="P227" s="6" t="s">
        <v>25</v>
      </c>
      <c r="Q227" s="7" t="s">
        <v>41</v>
      </c>
      <c r="R227" s="7"/>
    </row>
    <row r="228" customFormat="false" ht="15" hidden="false" customHeight="false" outlineLevel="0" collapsed="false">
      <c r="B228" s="3" t="s">
        <v>387</v>
      </c>
      <c r="L228" s="11" t="n">
        <f aca="false">SUM(L6:L227)</f>
        <v>12209508</v>
      </c>
      <c r="M228" s="11" t="n">
        <f aca="false">SUM(M6:M227)</f>
        <v>14051126</v>
      </c>
      <c r="N228" s="11" t="n">
        <f aca="false">SUM(N6:N227)</f>
        <v>11647580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388</v>
      </c>
    </row>
    <row r="3" customFormat="false" ht="15" hidden="false" customHeight="false" outlineLevel="0" collapsed="false">
      <c r="A3" s="13" t="s">
        <v>389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390</v>
      </c>
      <c r="B4" s="11" t="n">
        <f aca="false">COUNTIF('Rate Check'!J6:J227,"LOSS")</f>
        <v>69</v>
      </c>
    </row>
    <row r="5" customFormat="false" ht="15" hidden="false" customHeight="false" outlineLevel="0" collapsed="false">
      <c r="A5" s="13" t="s">
        <v>391</v>
      </c>
      <c r="B5" s="11" t="n">
        <f aca="false">COUNTIF('Rate Check'!J6:J227,"THIN / RISK")</f>
        <v>78</v>
      </c>
    </row>
    <row r="6" customFormat="false" ht="15" hidden="false" customHeight="false" outlineLevel="0" collapsed="false">
      <c r="A6" s="13" t="s">
        <v>392</v>
      </c>
      <c r="B6" s="11" t="n">
        <f aca="false">COUNTIF('Rate Check'!J6:J227,"OK")</f>
        <v>72</v>
      </c>
    </row>
    <row r="7" customFormat="false" ht="15" hidden="false" customHeight="false" outlineLevel="0" collapsed="false">
      <c r="A7" s="13" t="s">
        <v>393</v>
      </c>
      <c r="B7" s="11" t="n">
        <f aca="false">COUNTIF('Rate Check'!J6:J227,"OVERPRICED?")</f>
        <v>3</v>
      </c>
    </row>
    <row r="8" customFormat="false" ht="15" hidden="false" customHeight="false" outlineLevel="0" collapsed="false">
      <c r="A8" s="13" t="s">
        <v>394</v>
      </c>
      <c r="B8" s="11" t="n">
        <f aca="false">COUNTIF('Rate Check'!O6:O227,"YES")</f>
        <v>127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395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396</v>
      </c>
      <c r="B11" s="11" t="n">
        <f aca="false">'Rate Check'!N228</f>
        <v>11647580</v>
      </c>
    </row>
    <row r="12" customFormat="false" ht="15" hidden="false" customHeight="false" outlineLevel="0" collapsed="false">
      <c r="A12" s="13" t="s">
        <v>397</v>
      </c>
      <c r="B12" s="11" t="n">
        <f aca="false">B10-B11</f>
        <v>561928</v>
      </c>
    </row>
    <row r="13" customFormat="false" ht="15" hidden="false" customHeight="false" outlineLevel="0" collapsed="false">
      <c r="A13" s="13" t="s">
        <v>398</v>
      </c>
      <c r="B13" s="14" t="n">
        <f aca="false">IF(B10=0,0,B12/B10)</f>
        <v>0.0460238037437708</v>
      </c>
    </row>
    <row r="14" customFormat="false" ht="15" hidden="false" customHeight="false" outlineLevel="0" collapsed="false">
      <c r="A14" s="13" t="s">
        <v>399</v>
      </c>
      <c r="B14" s="11" t="n">
        <f aca="false">SUMPRODUCT(('Rate Check'!E6:E227&lt;'Rate Check'!H6:H227)*('Rate Check'!H6:H227-'Rate Check'!E6:E227)*'Rate Check'!D6:D227)</f>
        <v>1348380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400</v>
      </c>
      <c r="B16" s="11" t="n">
        <f aca="false">'Rate Check'!M228</f>
        <v>14051126</v>
      </c>
    </row>
    <row r="17" customFormat="false" ht="15" hidden="false" customHeight="false" outlineLevel="0" collapsed="false">
      <c r="A17" s="13" t="s">
        <v>401</v>
      </c>
      <c r="B17" s="14" t="n">
        <f aca="false">IF(B16=0,0,(B16-B11)/B16)</f>
        <v>0.171057180755478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402</v>
      </c>
    </row>
    <row r="3" customFormat="false" ht="15" hidden="false" customHeight="false" outlineLevel="0" collapsed="false">
      <c r="A3" s="13" t="s">
        <v>403</v>
      </c>
      <c r="B3" s="15" t="s">
        <v>404</v>
      </c>
    </row>
    <row r="4" customFormat="false" ht="15" hidden="false" customHeight="false" outlineLevel="0" collapsed="false">
      <c r="A4" s="13" t="s">
        <v>405</v>
      </c>
      <c r="B4" s="15" t="s">
        <v>406</v>
      </c>
    </row>
    <row r="5" customFormat="false" ht="15" hidden="false" customHeight="false" outlineLevel="0" collapsed="false">
      <c r="A5" s="13" t="s">
        <v>407</v>
      </c>
      <c r="B5" s="15" t="s">
        <v>408</v>
      </c>
    </row>
    <row r="6" customFormat="false" ht="15" hidden="false" customHeight="false" outlineLevel="0" collapsed="false">
      <c r="A6" s="13" t="s">
        <v>409</v>
      </c>
      <c r="B6" s="15" t="s">
        <v>410</v>
      </c>
    </row>
    <row r="7" customFormat="false" ht="15" hidden="false" customHeight="false" outlineLevel="0" collapsed="false">
      <c r="A7" s="13" t="s">
        <v>411</v>
      </c>
      <c r="B7" s="15" t="s">
        <v>412</v>
      </c>
    </row>
    <row r="8" customFormat="false" ht="15" hidden="false" customHeight="false" outlineLevel="0" collapsed="false">
      <c r="A8" s="13" t="s">
        <v>413</v>
      </c>
      <c r="B8" s="15" t="s">
        <v>414</v>
      </c>
    </row>
    <row r="9" customFormat="false" ht="15" hidden="false" customHeight="false" outlineLevel="0" collapsed="false">
      <c r="A9" s="13" t="s">
        <v>415</v>
      </c>
      <c r="B9" s="15" t="s">
        <v>416</v>
      </c>
    </row>
    <row r="10" customFormat="false" ht="15" hidden="false" customHeight="false" outlineLevel="0" collapsed="false">
      <c r="A10" s="13" t="s">
        <v>417</v>
      </c>
      <c r="B10" s="15" t="s">
        <v>418</v>
      </c>
    </row>
    <row r="11" customFormat="false" ht="15" hidden="false" customHeight="false" outlineLevel="0" collapsed="false">
      <c r="A11" s="13" t="s">
        <v>419</v>
      </c>
      <c r="B11" s="15" t="s">
        <v>420</v>
      </c>
    </row>
    <row r="12" customFormat="false" ht="15" hidden="false" customHeight="false" outlineLevel="0" collapsed="false">
      <c r="A12" s="13" t="s">
        <v>421</v>
      </c>
      <c r="B12" s="15" t="s">
        <v>422</v>
      </c>
    </row>
    <row r="13" customFormat="false" ht="15" hidden="false" customHeight="false" outlineLevel="0" collapsed="false">
      <c r="A13" s="13" t="s">
        <v>423</v>
      </c>
      <c r="B13" s="15" t="s">
        <v>424</v>
      </c>
    </row>
    <row r="14" customFormat="false" ht="15" hidden="false" customHeight="false" outlineLevel="0" collapsed="false">
      <c r="A14" s="13" t="s">
        <v>425</v>
      </c>
      <c r="B14" s="15" t="s">
        <v>426</v>
      </c>
    </row>
    <row r="15" customFormat="false" ht="15" hidden="false" customHeight="false" outlineLevel="0" collapsed="false">
      <c r="A15" s="13" t="s">
        <v>427</v>
      </c>
      <c r="B15" s="15" t="s">
        <v>428</v>
      </c>
    </row>
    <row r="16" customFormat="false" ht="15" hidden="false" customHeight="false" outlineLevel="0" collapsed="false">
      <c r="A16" s="13" t="s">
        <v>429</v>
      </c>
      <c r="B16" s="15" t="s">
        <v>430</v>
      </c>
    </row>
    <row r="17" customFormat="false" ht="15" hidden="false" customHeight="false" outlineLevel="0" collapsed="false">
      <c r="A17" s="13" t="s">
        <v>431</v>
      </c>
      <c r="B17" s="15" t="s">
        <v>432</v>
      </c>
    </row>
    <row r="18" customFormat="false" ht="15" hidden="false" customHeight="false" outlineLevel="0" collapsed="false">
      <c r="A18" s="13" t="s">
        <v>433</v>
      </c>
      <c r="B18" s="15" t="s">
        <v>434</v>
      </c>
    </row>
    <row r="19" customFormat="false" ht="15" hidden="false" customHeight="false" outlineLevel="0" collapsed="false">
      <c r="A19" s="13" t="s">
        <v>435</v>
      </c>
      <c r="B19" s="15" t="s">
        <v>436</v>
      </c>
    </row>
    <row r="20" customFormat="false" ht="15" hidden="false" customHeight="false" outlineLevel="0" collapsed="false">
      <c r="A20" s="13" t="s">
        <v>437</v>
      </c>
      <c r="B20" s="15" t="s">
        <v>438</v>
      </c>
    </row>
    <row r="21" customFormat="false" ht="15" hidden="false" customHeight="false" outlineLevel="0" collapsed="false">
      <c r="A21" s="13" t="s">
        <v>439</v>
      </c>
      <c r="B21" s="15" t="s">
        <v>440</v>
      </c>
    </row>
    <row r="22" customFormat="false" ht="15" hidden="false" customHeight="false" outlineLevel="0" collapsed="false">
      <c r="A22" s="13" t="s">
        <v>441</v>
      </c>
      <c r="B22" s="15" t="s">
        <v>442</v>
      </c>
    </row>
    <row r="23" customFormat="false" ht="15" hidden="false" customHeight="false" outlineLevel="0" collapsed="false">
      <c r="A23" s="13" t="s">
        <v>443</v>
      </c>
      <c r="B23" s="15" t="s">
        <v>444</v>
      </c>
    </row>
    <row r="24" customFormat="false" ht="15" hidden="false" customHeight="false" outlineLevel="0" collapsed="false">
      <c r="A24" s="13" t="s">
        <v>445</v>
      </c>
      <c r="B24" s="15" t="s">
        <v>446</v>
      </c>
    </row>
    <row r="25" customFormat="false" ht="15" hidden="false" customHeight="false" outlineLevel="0" collapsed="false">
      <c r="A25" s="13" t="s">
        <v>447</v>
      </c>
      <c r="B25" s="15" t="s">
        <v>448</v>
      </c>
    </row>
    <row r="26" customFormat="false" ht="15" hidden="false" customHeight="false" outlineLevel="0" collapsed="false">
      <c r="A26" s="13" t="s">
        <v>449</v>
      </c>
      <c r="B26" s="15" t="s">
        <v>450</v>
      </c>
    </row>
    <row r="27" customFormat="false" ht="15" hidden="false" customHeight="false" outlineLevel="0" collapsed="false">
      <c r="A27" s="13" t="s">
        <v>451</v>
      </c>
      <c r="B27" s="15" t="s">
        <v>452</v>
      </c>
    </row>
    <row r="28" customFormat="false" ht="15" hidden="false" customHeight="false" outlineLevel="0" collapsed="false">
      <c r="A28" s="13" t="s">
        <v>453</v>
      </c>
      <c r="B28" s="15" t="s">
        <v>454</v>
      </c>
    </row>
    <row r="29" customFormat="false" ht="15" hidden="false" customHeight="false" outlineLevel="0" collapsed="false">
      <c r="A29" s="13" t="s">
        <v>455</v>
      </c>
      <c r="B29" s="15" t="s">
        <v>456</v>
      </c>
    </row>
    <row r="30" customFormat="false" ht="15" hidden="false" customHeight="false" outlineLevel="0" collapsed="false">
      <c r="A30" s="13" t="s">
        <v>457</v>
      </c>
      <c r="B30" s="15" t="s">
        <v>458</v>
      </c>
    </row>
    <row r="31" customFormat="false" ht="15" hidden="false" customHeight="false" outlineLevel="0" collapsed="false">
      <c r="A31" s="13" t="s">
        <v>459</v>
      </c>
      <c r="B31" s="15" t="s">
        <v>460</v>
      </c>
    </row>
    <row r="32" customFormat="false" ht="15" hidden="false" customHeight="false" outlineLevel="0" collapsed="false">
      <c r="A32" s="13" t="s">
        <v>461</v>
      </c>
      <c r="B32" s="15" t="s">
        <v>462</v>
      </c>
    </row>
    <row r="33" customFormat="false" ht="15" hidden="false" customHeight="false" outlineLevel="0" collapsed="false">
      <c r="A33" s="13" t="s">
        <v>463</v>
      </c>
      <c r="B33" s="15" t="s">
        <v>464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w11stop.com/licota"/>
    <hyperlink ref="B9" r:id="rId7" display="https://w11stop.com/licota-atb-1004f-gear-puller"/>
    <hyperlink ref="B10" r:id="rId8" display="https://w11stop.com/licota-atb-1003g-gear-puller"/>
    <hyperlink ref="B11" r:id="rId9" display="https://w11stop.com/licota-atb-1017d-gear-puller"/>
    <hyperlink ref="B12" r:id="rId10" display="https://w11stop.com/lubricants-and-removal/wd-40-330-ml-lubricant"/>
    <hyperlink ref="B13" r:id="rId11" display="https://w11stop.com/bosch-gws-2200-230-h-grinder"/>
    <hyperlink ref="B14" r:id="rId12" display="https://w11stop.com/bosch-gbh-180-li-rotary-hammer"/>
    <hyperlink ref="B15" r:id="rId13" display="https://kamadi.pk/products/gds-18v-1000-bosch-cordless-impact-wrench-650n-m-18v"/>
    <hyperlink ref="B16" r:id="rId14" display="https://kamadi.pk/products/gdx-180-li-bosch-cordless-impact-driver-wrench-180n-m-18v"/>
    <hyperlink ref="B17" r:id="rId15" display="https://kamadi.pk/products/bosch-gws-2200-230-h-angle-grinder"/>
    <hyperlink ref="B18" r:id="rId16" display="https://kamadi.pk/products/insize-1205-300s-vernier-caliper-0-300mm"/>
    <hyperlink ref="B19" r:id="rId17" display="https://kamadi.pk/products/1108-300-insize-digital-4-way-vernier-caliper-0-300mm"/>
    <hyperlink ref="B20" r:id="rId18" display="https://kamadi.pk/products/insize-3109-25a-digital-outside-micrometer-0-25mm"/>
    <hyperlink ref="B21" r:id="rId19" display="https://www.ktools.pk/products/bosch-gds-18v-1000-cordless-impact-wrench"/>
    <hyperlink ref="B22" r:id="rId20" display="https://www.ktools.pk/products/bosch-cordless-impact-wrench-gdx-180-li"/>
    <hyperlink ref="B23" r:id="rId21" display="https://www.ktools.pk/products/bosch-cordless-rotary-hammer-with-sds-plus-gbh-180-li"/>
    <hyperlink ref="B24" r:id="rId22" display="https://www.ktools.pk/products/bosch-cordless-impact-drill-combi-gsb-18v-150-c"/>
    <hyperlink ref="B25" r:id="rId23" display="https://www.ktools.pk/products/bosch-gws-2200-230h-angle-grinder-230mm-2200w"/>
    <hyperlink ref="B26" r:id="rId24" display="https://amjadhardware.com/product/1108-300-digital-vernier-caliper-0-300mm-0-12-insize/"/>
    <hyperlink ref="B27" r:id="rId25" display="https://purchaser.com.pk/insize-4-way-vernier-caliper-1205-200s-en/"/>
    <hyperlink ref="B28" r:id="rId26" display="https://powerhouseexpress.com.pk/collections/grinders"/>
    <hyperlink ref="B29" r:id="rId27" display="https://www.rafiqbrothers.com/en/category/hand-pallet-trucks/"/>
    <hyperlink ref="B30" r:id="rId28" display="https://eqmachines.com/products/hand-pallet-truck-pakistan"/>
    <hyperlink ref="B31" r:id="rId29" display="https://www.pakwheels.com/accessories-spare-parts/car-jack/213239"/>
    <hyperlink ref="B32" r:id="rId30" display="https://ingcotool.pk/product/total-swivel-base-bench-vise-with-anvil-6-150mm-tht6166/"/>
    <hyperlink ref="B33" r:id="rId31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2026-10-09T14:54:26Z</dcterms:created>
  <dc:creator>openpyxl</dc:creator>
  <dc:description/>
  <dc:language>en-US</dc:language>
  <cp:lastModifiedBy/>
  <dcterms:modified xsi:type="dcterms:W3CDTF">2026-10-09T14:54:26Z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