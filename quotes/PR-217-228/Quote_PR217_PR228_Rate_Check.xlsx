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<sst xmlns="http://schemas.openxmlformats.org/spreadsheetml/2006/main" count="1381" uniqueCount="535">
  <si>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</si>
  <si>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</si>
  <si>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</si>
  <si>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</si>
  <si>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</si>
  <si>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</si>
  <si>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</si>
  <si>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</si>
  <si>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</si>
  <si>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</si>
  <si>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</si>
  <si>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</si>
  <si>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</si>
  <si>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</si>
  <si>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</si>
  <si>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</si>
  <si>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</si>
  <si>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</si>
  <si>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</si>
  <si>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</si>
  <si>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</si>
  <si>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</si>
  <si>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</si>
  <si>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</si>
  <si>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</si>
  <si>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</si>
  <si>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</si>
  <si>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</si>
  <si>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</si>
  <si>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</si>
  <si>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</si>
  <si>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</si>
  <si>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</si>
  <si>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</si>
  <si>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</si>
  <si>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</si>
  <si>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</si>
  <si>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</si>
  <si>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</si>
  <si>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</si>
  <si>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</si>
  <si>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</si>
  <si>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</si>
  <si>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</si>
  <si>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</si>
  <si>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</si>
  <si>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</si>
  <si>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</si>
  <si>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</si>
  <si>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</si>
  <si>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</si>
  <si>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S</t>
  </si>
  <si>
    <t xml:space="preserve">toolsmart.pk Licota offset ring singles 8x10 1,230 / 14x15 2,060 / 24x26 3,420 / 30x32 4,240 -&gt; 12pc 6-32 sum ~29,600</t>
  </si>
  <si>
    <t xml:space="preserve">Spec/pack/stock farq - source dekho</t>
  </si>
  <si>
    <t xml:space="preserve">DOUBLE OPEN END WRENCH 6 TO 32 (12 PCS SET)</t>
  </si>
  <si>
    <t xml:space="preserve">toolsmart.pk Licota DOE 36x41 7,430 / 41x46 12,310 + offset ring singles 1,230-4,240 -&gt; 12pc 6-32 DOE ~85% of ring set</t>
  </si>
  <si>
    <t xml:space="preserve">Online nahi mila - dealer quote chahiye. Licota/Yato PK listing nahi; sasta alt: Harden 12630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</si>
  <si>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</si>
  <si>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</si>
  <si>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</si>
  <si>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</si>
  <si>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</si>
  <si>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toolsmart.pk Licota 14pc European combination 5/16-1-1/4in (=8-32mm range) Rs 25,660</t>
  </si>
  <si>
    <t xml:space="preserve">Online nahi mila - dealer quote chahiye. Licota/Yato PK listing nahi; sasta alt: Tolsen 11780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</si>
  <si>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</si>
  <si>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</si>
  <si>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</si>
  <si>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</si>
  <si>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</si>
  <si>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Licota TAP-50042 hollow punch (PH) scaled to 15pc 3-25mm</t>
  </si>
  <si>
    <t xml:space="preserve">Online nahi mila - dealer quote chahiye. Licota/Yato PK listing nahi; sasta alt: Harden 4699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</si>
  <si>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</si>
  <si>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</si>
  <si>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</si>
  <si>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</si>
  <si>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</si>
  <si>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</si>
  <si>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</si>
  <si>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12mm hex AED 250/20pc (12.5 ea) x90; Licota PK/UAE ratio ~90 (calibrated: locking plier 10in 4,000/AED42, 143pc 104,750/AED1,200, pin punch 5,460/AED48, hex 9pc 4,400/AED45)</t>
  </si>
  <si>
    <t xml:space="preserve">ALLEN (HEX) KEY 14MM</t>
  </si>
  <si>
    <t xml:space="preserve">goldentools.ae Licota hex 12mm scaled to 14mm x90</t>
  </si>
  <si>
    <t xml:space="preserve">ALLEN (HEX) KEY 16MM</t>
  </si>
  <si>
    <t xml:space="preserve">goldentools.ae Licota hex 12mm scaled to 16mm x90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</si>
  <si>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</si>
  <si>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</si>
  <si>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</si>
  <si>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</si>
  <si>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</si>
  <si>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</si>
  <si>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goldentools.ae Licota snap ring set 4pc 175mm AED 212.5; toolsmart.pk same set 13,750 (3,438/pc) -&gt; 230mm +30%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</si>
  <si>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</si>
  <si>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</si>
  <si>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</si>
  <si>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</si>
  <si>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</si>
  <si>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Licota ridgid pipe wrench 14in 7,940 / 18in 9,620 scaled to 10in</t>
  </si>
  <si>
    <t xml:space="preserve">Online nahi mila - dealer quote chahiye. Licota/Yato PK listing nahi; sasta alt: Total 1700</t>
  </si>
  <si>
    <t xml:space="preserve">PIPE WRENCH SIZE 12"</t>
  </si>
  <si>
    <t xml:space="preserve">toolsmart.pk Licota ridgid pipe wrench 14in 7,940 / 18in 9,620 scaled to 12in</t>
  </si>
  <si>
    <t xml:space="preserve">Online nahi mila - dealer quote chahiye. Licota/Yato PK listing nahi; sasta alt: Harden 2850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</si>
  <si>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</si>
  <si>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</si>
  <si>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</si>
  <si>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toolsmart.pk Licota 18in 9,620 scaled; goldentools.ae Licota 48in AED 1,000</t>
  </si>
  <si>
    <t xml:space="preserve">Online nahi mila - dealer quote chahiye. Licota/Yato PK listing nahi; sasta alt: Harden 6560</t>
  </si>
  <si>
    <t xml:space="preserve">PIPE WRENCH SIZE 36"</t>
  </si>
  <si>
    <t xml:space="preserve">toolsmart.pk Licota 18in 9,620 scaled; goldentools.ae Licota 48in AED 1,000 (x90=90,000)</t>
  </si>
  <si>
    <t xml:space="preserve">Online nahi mila - dealer quote chahiye. Licota/Yato PK listing nahi; sasta alt: Total 7900</t>
  </si>
  <si>
    <t xml:space="preserve">SLEDGE HAMMER 1 LBS WITH FIBREGLASS HANDLE</t>
  </si>
  <si>
    <t xml:space="preserve">goldentools.ae Licota sledge 1500g AED 96 / 2000g AED 110 -&gt; 1lb ~AED 65 x90</t>
  </si>
  <si>
    <t xml:space="preserve">Online nahi mila - dealer quote chahiye. Licota/Yato PK listing nahi; sasta alt: Total 2000</t>
  </si>
  <si>
    <t xml:space="preserve">SLEDGE HAMMER 3 LBS WITH FIBREGLASS HANDLE</t>
  </si>
  <si>
    <t xml:space="preserve">goldentools.ae Licota sledge 1500g AED 96 x90 (3lb=1.36kg)</t>
  </si>
  <si>
    <t xml:space="preserve">Online nahi mila - dealer quote chahiye. Licota/Yato PK listing nahi; sasta alt: Harden 3380</t>
  </si>
  <si>
    <t xml:space="preserve">SOFT FACE DEAD BLOW HAMMER 50MM</t>
  </si>
  <si>
    <t xml:space="preserve">goldentools.ae Licota dead blow 45mm AED 65 -&gt; 50mm ~AED 72 x90</t>
  </si>
  <si>
    <t xml:space="preserve">Online nahi mila - dealer quote chahiye. Licota/Yato PK listing nahi; sasta alt: Harden 2450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</si>
  <si>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</si>
  <si>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</si>
  <si>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</si>
  <si>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</si>
  <si>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</si>
  <si>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</si>
  <si>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</si>
  <si>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bosch-pt.com.ph GDS 18V-350 bare PHP 5,915 x~5.6 (calibrated: GDS 18V-1000 PH 12,600 vs PK solo 70,000) + 2x4Ah battery &amp; charger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</si>
  <si>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</si>
  <si>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</si>
  <si>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</si>
  <si>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</si>
  <si>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toolsmart.pk Licota impact adapter 3/8F x 1/2M 1,130 (similar)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</si>
  <si>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</si>
  <si>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</si>
  <si>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</si>
  <si>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</si>
  <si>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</si>
  <si>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</si>
  <si>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</si>
  <si>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 Licota 3-jaw 6in AED 120 / 4in AED 65 scaled x90</t>
  </si>
  <si>
    <t xml:space="preserve">UNIVERSAL PULLER 2-ARMED WITH HOOK BRAK 250</t>
  </si>
  <si>
    <t xml:space="preserve">goldentools.ae Licota puller AED 120 (6in) scaled to 250mm x90</t>
  </si>
  <si>
    <t xml:space="preserve">UNIVERSAL PULLER 2-ARMED 160 X 300 MM 5T</t>
  </si>
  <si>
    <t xml:space="preserve">goldentools.ae Licota puller scaled to 160x300 5T x90</t>
  </si>
  <si>
    <t xml:space="preserve">UNIVERSAL PULLER 2-ARMED 250 X 300 MM 7.5T</t>
  </si>
  <si>
    <t xml:space="preserve">goldentools.ae Licota puller scaled to 250x300 7.5T x90</t>
  </si>
  <si>
    <t xml:space="preserve">INTERNAL EXTRACTOR WITH REINFORCED COLLAR</t>
  </si>
  <si>
    <t xml:space="preserve">Licota internal extractor (ATB-1208 class) est x90</t>
  </si>
  <si>
    <t xml:space="preserve">MECHANICAL PULLER 3 ARMED 200X200</t>
  </si>
  <si>
    <t xml:space="preserve">goldentools.ae Licota 3-jaw 6in AED 120 scaled to 8in (~AED 190) x90</t>
  </si>
  <si>
    <t xml:space="preserve">Online nahi mila - dealer quote chahiye. Licota/Yato PK listing nahi; sasta alt: Yato 8500</t>
  </si>
  <si>
    <t xml:space="preserve">MECHANICAL PULLER 3 ARMED 250X250</t>
  </si>
  <si>
    <t xml:space="preserve">goldentools.ae Licota 3-jaw 6in AED 120 scaled to 10in (~AED 290) x90</t>
  </si>
  <si>
    <t xml:space="preserve">Online nahi mila - dealer quote chahiye. Licota/Yato PK listing nahi; sasta alt: Yato 19030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</si>
  <si>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</si>
  <si>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</si>
  <si>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</si>
  <si>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</si>
  <si>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</si>
  <si>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</si>
  <si>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</si>
  <si>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goldentools.ae Licota hand grease gun AGH-10004H AED 120 (=toolsmart 7,760) -&gt; air gun ~1.5x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</si>
  <si>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</si>
  <si>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</si>
  <si>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</si>
  <si>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</si>
  <si>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</si>
  <si>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</si>
  <si>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</si>
  <si>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</si>
  <si>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</si>
  <si>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Online nahi mila - dealer quote chahiye. Licota/Yato PK listing nahi; sasta alt: Ingco 5920</t>
  </si>
  <si>
    <t xml:space="preserve">ALIGNING PRY BAR DIA 5/8" X 18" LENGTH</t>
  </si>
  <si>
    <t xml:space="preserve">Licota pry bar (khmtools PH 4pc set) est x90</t>
  </si>
  <si>
    <t xml:space="preserve">Online nahi mila - dealer quote chahiye. pry bar</t>
  </si>
  <si>
    <t xml:space="preserve">ADJUSTABLE WRENCH 15"</t>
  </si>
  <si>
    <t xml:space="preserve">toolsmart.pk Licota adjustable angle 10in 5,310-6,270 / goldentools.ae AED 85 -&gt; 15in ~2x</t>
  </si>
  <si>
    <t xml:space="preserve">Online nahi mila - dealer quote chahiye. Licota/Yato PK listing nahi; sasta alt: Total 3890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</si>
  <si>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</si>
  <si>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</si>
  <si>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</si>
  <si>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</si>
  <si>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</si>
  <si>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</si>
  <si>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</si>
  <si>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</si>
  <si>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</si>
  <si>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</si>
  <si>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Online nahi mila - dealer quote chahiye. Licota/Yato PK listing nahi; sasta alt: Total 1000</t>
  </si>
  <si>
    <t xml:space="preserve">HSS COBALT DRILL SET 1-13MM 25 PCS</t>
  </si>
  <si>
    <t xml:space="preserve">Dormer A095 (HSS-Co)</t>
  </si>
  <si>
    <t xml:space="preserve">Dormer 25pc 1-13mm set - PK listing n/a (UK/US list scaled)</t>
  </si>
  <si>
    <t xml:space="preserve">Online nahi mila - dealer quote chahiye. Dormer 25pc cobalt set; alt Ingco AKD1251 M2 22,185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</si>
  <si>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</si>
  <si>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</si>
  <si>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</si>
  <si>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</si>
  <si>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</si>
  <si>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</si>
  <si>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</si>
  <si>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</si>
  <si>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</si>
  <si>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</si>
  <si>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</si>
  <si>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</si>
  <si>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</si>
  <si>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</si>
  <si>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</si>
  <si>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</si>
  <si>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</si>
  <si>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</si>
  <si>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</si>
  <si>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</si>
  <si>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</si>
  <si>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</si>
  <si>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</si>
  <si>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</si>
  <si>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</si>
  <si>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</si>
  <si>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</si>
  <si>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</si>
  <si>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</si>
  <si>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</si>
  <si>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</si>
  <si>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</si>
  <si>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</si>
  <si>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</si>
  <si>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</si>
  <si>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</si>
  <si>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</si>
  <si>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</si>
  <si>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</si>
  <si>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</si>
  <si>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</si>
  <si>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</si>
  <si>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</si>
  <si>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</si>
  <si>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</si>
  <si>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</si>
  <si>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</si>
  <si>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</si>
  <si>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</si>
  <si>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</si>
  <si>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</si>
  <si>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</si>
  <si>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</si>
  <si>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</si>
  <si>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</si>
  <si>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</si>
  <si>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</si>
  <si>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</si>
  <si>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Online nahi mila - dealer quote chahiye. Licota/Yato PK listing nahi; sasta alt: Total 2420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</si>
  <si>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</si>
  <si>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</si>
  <si>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</si>
  <si>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amjadhardware.com Yato YT-3022 600mm 2,800; speedextools.com Yato YT-3024 1000mm AED 41 x90</t>
  </si>
  <si>
    <t xml:space="preserve">Online nahi mila - dealer quote chahiye. Licota/Yato PK listing nahi; sasta alt: Total 3350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</si>
  <si>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</si>
  <si>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</si>
  <si>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</si>
  <si>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</si>
  <si>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</si>
  <si>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Insize square est (industrybuying 2280-300 INR ref)</t>
  </si>
  <si>
    <t xml:space="preserve">Online nahi mila - dealer quote chahiye. Licota/Yato PK listing nahi; sasta alt: Harden 3125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</si>
  <si>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</si>
  <si>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</si>
  <si>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</si>
  <si>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</si>
  <si>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</si>
  <si>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</si>
  <si>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</si>
  <si>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</si>
  <si>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</si>
  <si>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</si>
  <si>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</si>
  <si>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</si>
  <si>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</si>
  <si>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</si>
  <si>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</si>
  <si>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</si>
  <si>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</si>
  <si>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</si>
  <si>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</si>
  <si>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</si>
  <si>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</si>
  <si>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</si>
  <si>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</si>
  <si>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</si>
  <si>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</si>
  <si>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</si>
  <si>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</si>
  <si>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</si>
  <si>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</si>
  <si>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</si>
  <si>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</si>
  <si>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</si>
  <si>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</si>
  <si>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</si>
  <si>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</si>
  <si>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</si>
  <si>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</si>
  <si>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</si>
  <si>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</si>
  <si>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</si>
  <si>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</si>
  <si>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</si>
  <si>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</si>
  <si>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</si>
  <si>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</si>
  <si>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</si>
  <si>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</si>
  <si>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</si>
  <si>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</si>
  <si>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</si>
  <si>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</si>
  <si>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</si>
  <si>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</si>
  <si>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</si>
  <si>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</si>
  <si>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</si>
  <si>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</si>
  <si>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</si>
  <si>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</si>
  <si>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Licota gasket scraper est (UAE ref)</t>
  </si>
  <si>
    <t xml:space="preserve">Online nahi mila - dealer quote chahiye. Licota/Yato PK listing nahi; sasta alt: Tolsen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</si>
  <si>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</si>
  <si>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</si>
  <si>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</si>
  <si>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</si>
  <si>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</si>
  <si>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</si>
  <si>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</si>
  <si>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</si>
  <si>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</si>
  <si>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</si>
  <si>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</si>
  <si>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</si>
  <si>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</si>
  <si>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</si>
  <si>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</si>
  <si>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</si>
  <si>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</si>
  <si>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</si>
  <si>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</si>
  <si>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</si>
  <si>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</si>
  <si>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</si>
  <si>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</si>
  <si>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</si>
  <si>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</si>
  <si>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</si>
  <si>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</si>
  <si>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</si>
  <si>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</si>
  <si>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</si>
  <si>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</si>
  <si>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</si>
  <si>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</si>
  <si>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</si>
  <si>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</si>
  <si>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</si>
  <si>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</si>
  <si>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</si>
  <si>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</si>
  <si>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</si>
  <si>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</si>
  <si>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</si>
  <si>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</si>
  <si>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</si>
  <si>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</si>
  <si>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</si>
  <si>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</si>
  <si>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</si>
  <si>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</si>
  <si>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</si>
  <si>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</si>
  <si>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</si>
  <si>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</si>
  <si>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</si>
  <si>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</si>
  <si>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</si>
  <si>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</si>
  <si>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</si>
  <si>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</si>
  <si>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</si>
  <si>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</si>
  <si>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</si>
  <si>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</si>
  <si>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</si>
  <si>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</si>
  <si>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</si>
  <si>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</si>
  <si>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</si>
  <si>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</si>
  <si>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</si>
  <si>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</si>
  <si>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</si>
  <si>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</si>
  <si>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</si>
  <si>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</si>
  <si>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</si>
  <si>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</si>
  <si>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</si>
  <si>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</si>
  <si>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</si>
  <si>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</si>
  <si>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</si>
  <si>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</si>
  <si>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</si>
  <si>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</si>
  <si>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</si>
  <si>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</si>
  <si>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</si>
  <si>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</si>
  <si>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</si>
  <si>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</si>
  <si>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</si>
  <si>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</si>
  <si>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</si>
  <si>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Yato YT-65049</t>
  </si>
  <si>
    <t xml:space="preserve">Yato UK GBP250; Total 8" PK 17,999</t>
  </si>
  <si>
    <t xml:space="preserve">Online nahi mila - dealer quote chahiye. Licota/Yato PK listing nahi; sasta alt: Ingco 31300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</si>
  <si>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</si>
  <si>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</si>
  <si>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</si>
  <si>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</si>
  <si>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</si>
  <si>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</si>
  <si>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</si>
  <si>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</si>
  <si>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</si>
  <si>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</si>
  <si>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</si>
  <si>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</si>
  <si>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speedextools/UAE Yato YT-17001 3T AED 59 x90</t>
  </si>
  <si>
    <t xml:space="preserve">Online nahi mila - dealer quote chahiye. Licota/Yato PK listing nahi; sasta alt: Ronix 5950</t>
  </si>
  <si>
    <t xml:space="preserve">HYDRAULIC JACK 5 TON</t>
  </si>
  <si>
    <t xml:space="preserve">Yato YT-17002</t>
  </si>
  <si>
    <t xml:space="preserve">Yato YT-17002 5T EU EUR 26-30 / UAE ref x90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</si>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</sst>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43</v>
      </c>
      <c r="Q13" s="7" t="s">
        <v>49</v>
      </c>
      <c r="R13" s="7"/>
    </row>
    <row r="14" customFormat="false" ht="32.8" hidden="false" customHeight="false" outlineLevel="0" collapsed="false">
      <c r="A14" s="6" t="n">
        <v>9</v>
      </c>
      <c r="B14" s="7" t="s">
        <v>50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51</v>
      </c>
      <c r="Q14" s="7" t="s">
        <v>52</v>
      </c>
      <c r="R14" s="7" t="s">
        <v>53</v>
      </c>
    </row>
    <row r="15" customFormat="false" ht="32.8" hidden="false" customHeight="false" outlineLevel="0" collapsed="false">
      <c r="A15" s="6" t="n">
        <v>10</v>
      </c>
      <c r="B15" s="7" t="s">
        <v>54</v>
      </c>
      <c r="C15" s="6" t="s">
        <v>28</v>
      </c>
      <c r="D15" s="6" t="n">
        <v>4</v>
      </c>
      <c r="E15" s="8" t="n">
        <v>15600</v>
      </c>
      <c r="F15" s="7" t="s">
        <v>28</v>
      </c>
      <c r="G15" s="9" t="n">
        <v>23000</v>
      </c>
      <c r="H15" s="9" t="n">
        <v>27000</v>
      </c>
      <c r="I15" s="10" t="n">
        <f aca="false">IF(E15=0,0,(E15-H15)/E15)</f>
        <v>-0.730769230769231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31050</v>
      </c>
      <c r="L15" s="8" t="n">
        <f aca="false">D15*E15</f>
        <v>62400</v>
      </c>
      <c r="M15" s="8" t="n">
        <f aca="false">D15*K15</f>
        <v>124200</v>
      </c>
      <c r="N15" s="8" t="n">
        <f aca="false">D15*H15</f>
        <v>108000</v>
      </c>
      <c r="O15" s="6" t="str">
        <f aca="false">IF(ISNUMBER(SEARCH(C15,F15)),"","YES")</f>
        <v/>
      </c>
      <c r="P15" s="6" t="s">
        <v>24</v>
      </c>
      <c r="Q15" s="7" t="s">
        <v>55</v>
      </c>
      <c r="R15" s="7" t="s">
        <v>56</v>
      </c>
    </row>
    <row r="16" customFormat="false" ht="15" hidden="false" customHeight="false" outlineLevel="0" collapsed="false">
      <c r="A16" s="6" t="n">
        <v>11</v>
      </c>
      <c r="B16" s="7" t="s">
        <v>57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43</v>
      </c>
      <c r="Q16" s="7" t="s">
        <v>58</v>
      </c>
      <c r="R16" s="7"/>
    </row>
    <row r="17" customFormat="false" ht="22.35" hidden="false" customHeight="false" outlineLevel="0" collapsed="false">
      <c r="A17" s="6" t="n">
        <v>12</v>
      </c>
      <c r="B17" s="7" t="s">
        <v>59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43</v>
      </c>
      <c r="Q17" s="7" t="s">
        <v>60</v>
      </c>
      <c r="R17" s="7"/>
    </row>
    <row r="18" customFormat="false" ht="32.8" hidden="false" customHeight="false" outlineLevel="0" collapsed="false">
      <c r="A18" s="6" t="n">
        <v>13</v>
      </c>
      <c r="B18" s="7" t="s">
        <v>61</v>
      </c>
      <c r="C18" s="6" t="s">
        <v>28</v>
      </c>
      <c r="D18" s="6" t="n">
        <v>4</v>
      </c>
      <c r="E18" s="8" t="n">
        <v>22100</v>
      </c>
      <c r="F18" s="7" t="s">
        <v>28</v>
      </c>
      <c r="G18" s="9" t="n">
        <v>25660</v>
      </c>
      <c r="H18" s="9" t="n">
        <v>28000</v>
      </c>
      <c r="I18" s="10" t="n">
        <f aca="false">IF(E18=0,0,(E18-H18)/E18)</f>
        <v>-0.266968325791855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32200</v>
      </c>
      <c r="L18" s="8" t="n">
        <f aca="false">D18*E18</f>
        <v>88400</v>
      </c>
      <c r="M18" s="8" t="n">
        <f aca="false">D18*K18</f>
        <v>128800</v>
      </c>
      <c r="N18" s="8" t="n">
        <f aca="false">D18*H18</f>
        <v>112000</v>
      </c>
      <c r="O18" s="6" t="str">
        <f aca="false">IF(ISNUMBER(SEARCH(C18,F18)),"","YES")</f>
        <v/>
      </c>
      <c r="P18" s="6" t="s">
        <v>24</v>
      </c>
      <c r="Q18" s="7" t="s">
        <v>62</v>
      </c>
      <c r="R18" s="7" t="s">
        <v>63</v>
      </c>
    </row>
    <row r="19" customFormat="false" ht="15" hidden="false" customHeight="false" outlineLevel="0" collapsed="false">
      <c r="A19" s="6" t="n">
        <v>14</v>
      </c>
      <c r="B19" s="7" t="s">
        <v>64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65</v>
      </c>
      <c r="R19" s="7"/>
    </row>
    <row r="20" customFormat="false" ht="22.35" hidden="false" customHeight="false" outlineLevel="0" collapsed="false">
      <c r="A20" s="6" t="n">
        <v>15</v>
      </c>
      <c r="B20" s="7" t="s">
        <v>66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67</v>
      </c>
      <c r="R20" s="7"/>
    </row>
    <row r="21" customFormat="false" ht="32.8" hidden="false" customHeight="false" outlineLevel="0" collapsed="false">
      <c r="A21" s="6" t="n">
        <v>16</v>
      </c>
      <c r="B21" s="7" t="s">
        <v>68</v>
      </c>
      <c r="C21" s="6" t="s">
        <v>28</v>
      </c>
      <c r="D21" s="6" t="n">
        <v>4</v>
      </c>
      <c r="E21" s="8" t="n">
        <v>8450</v>
      </c>
      <c r="F21" s="7" t="s">
        <v>28</v>
      </c>
      <c r="G21" s="9" t="n">
        <v>12000</v>
      </c>
      <c r="H21" s="9" t="n">
        <v>16000</v>
      </c>
      <c r="I21" s="10" t="n">
        <f aca="false">IF(E21=0,0,(E21-H21)/E21)</f>
        <v>-0.893491124260355</v>
      </c>
      <c r="J21" s="6" t="str">
        <f aca="false">IF(E21&lt;G21,"LOSS",IF(E21&lt;H21*1.1,"THIN / RISK",IF(E21&gt;H21*1.8,"OVERPRICED?","OK")))</f>
        <v>LOSS</v>
      </c>
      <c r="K21" s="8" t="n">
        <f aca="false">IF(J21="OVERPRICED?",ROUND(H21*1.35,-1),MAX(E21,ROUND(H21*(1+$E$3),-1)))</f>
        <v>18400</v>
      </c>
      <c r="L21" s="8" t="n">
        <f aca="false">D21*E21</f>
        <v>33800</v>
      </c>
      <c r="M21" s="8" t="n">
        <f aca="false">D21*K21</f>
        <v>73600</v>
      </c>
      <c r="N21" s="8" t="n">
        <f aca="false">D21*H21</f>
        <v>64000</v>
      </c>
      <c r="O21" s="6" t="str">
        <f aca="false">IF(ISNUMBER(SEARCH(C21,F21)),"","YES")</f>
        <v/>
      </c>
      <c r="P21" s="6" t="s">
        <v>24</v>
      </c>
      <c r="Q21" s="7" t="s">
        <v>69</v>
      </c>
      <c r="R21" s="7" t="s">
        <v>70</v>
      </c>
    </row>
    <row r="22" customFormat="false" ht="15" hidden="false" customHeight="false" outlineLevel="0" collapsed="false">
      <c r="A22" s="6" t="n">
        <v>17</v>
      </c>
      <c r="B22" s="7" t="s">
        <v>71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72</v>
      </c>
      <c r="R22" s="7"/>
    </row>
    <row r="23" customFormat="false" ht="22.35" hidden="false" customHeight="false" outlineLevel="0" collapsed="false">
      <c r="A23" s="6" t="n">
        <v>18</v>
      </c>
      <c r="B23" s="7" t="s">
        <v>73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43</v>
      </c>
      <c r="Q23" s="7" t="s">
        <v>74</v>
      </c>
      <c r="R23" s="7"/>
    </row>
    <row r="24" customFormat="false" ht="15" hidden="false" customHeight="false" outlineLevel="0" collapsed="false">
      <c r="A24" s="6" t="n">
        <v>19</v>
      </c>
      <c r="B24" s="7" t="s">
        <v>75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76</v>
      </c>
      <c r="R24" s="7"/>
    </row>
    <row r="25" customFormat="false" ht="53.7" hidden="false" customHeight="false" outlineLevel="0" collapsed="false">
      <c r="A25" s="6" t="n">
        <v>20</v>
      </c>
      <c r="B25" s="7" t="s">
        <v>77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1050</v>
      </c>
      <c r="H25" s="9" t="n">
        <v>1250</v>
      </c>
      <c r="I25" s="10" t="n">
        <f aca="false">IF(E25=0,0,(E25-H25)/E25)</f>
        <v>-0.373626373626374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1440</v>
      </c>
      <c r="L25" s="8" t="n">
        <f aca="false">D25*E25</f>
        <v>2730</v>
      </c>
      <c r="M25" s="8" t="n">
        <f aca="false">D25*K25</f>
        <v>4320</v>
      </c>
      <c r="N25" s="8" t="n">
        <f aca="false">D25*H25</f>
        <v>3750</v>
      </c>
      <c r="O25" s="6" t="str">
        <f aca="false">IF(ISNUMBER(SEARCH(C25,F25)),"","YES")</f>
        <v/>
      </c>
      <c r="P25" s="6" t="s">
        <v>24</v>
      </c>
      <c r="Q25" s="7" t="s">
        <v>78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79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1350</v>
      </c>
      <c r="H26" s="9" t="n">
        <v>1600</v>
      </c>
      <c r="I26" s="10" t="n">
        <f aca="false">IF(E26=0,0,(E26-H26)/E26)</f>
        <v>-0.367521367521368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1840</v>
      </c>
      <c r="L26" s="8" t="n">
        <f aca="false">D26*E26</f>
        <v>3510</v>
      </c>
      <c r="M26" s="8" t="n">
        <f aca="false">D26*K26</f>
        <v>5520</v>
      </c>
      <c r="N26" s="8" t="n">
        <f aca="false">D26*H26</f>
        <v>4800</v>
      </c>
      <c r="O26" s="6" t="str">
        <f aca="false">IF(ISNUMBER(SEARCH(C26,F26)),"","YES")</f>
        <v/>
      </c>
      <c r="P26" s="6" t="s">
        <v>24</v>
      </c>
      <c r="Q26" s="7" t="s">
        <v>80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81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1700</v>
      </c>
      <c r="H27" s="9" t="n">
        <v>2000</v>
      </c>
      <c r="I27" s="10" t="n">
        <f aca="false">IF(E27=0,0,(E27-H27)/E27)</f>
        <v>-0.398601398601399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2300</v>
      </c>
      <c r="L27" s="8" t="n">
        <f aca="false">D27*E27</f>
        <v>4290</v>
      </c>
      <c r="M27" s="8" t="n">
        <f aca="false">D27*K27</f>
        <v>6900</v>
      </c>
      <c r="N27" s="8" t="n">
        <f aca="false">D27*H27</f>
        <v>6000</v>
      </c>
      <c r="O27" s="6" t="str">
        <f aca="false">IF(ISNUMBER(SEARCH(C27,F27)),"","YES")</f>
        <v/>
      </c>
      <c r="P27" s="6" t="s">
        <v>24</v>
      </c>
      <c r="Q27" s="7" t="s">
        <v>82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83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43</v>
      </c>
      <c r="Q28" s="7" t="s">
        <v>84</v>
      </c>
      <c r="R28" s="7"/>
    </row>
    <row r="29" customFormat="false" ht="22.35" hidden="false" customHeight="false" outlineLevel="0" collapsed="false">
      <c r="A29" s="6" t="n">
        <v>24</v>
      </c>
      <c r="B29" s="7" t="s">
        <v>85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43</v>
      </c>
      <c r="Q29" s="7" t="s">
        <v>84</v>
      </c>
      <c r="R29" s="7"/>
    </row>
    <row r="30" customFormat="false" ht="22.35" hidden="false" customHeight="false" outlineLevel="0" collapsed="false">
      <c r="A30" s="6" t="n">
        <v>25</v>
      </c>
      <c r="B30" s="7" t="s">
        <v>86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43</v>
      </c>
      <c r="Q30" s="7" t="s">
        <v>84</v>
      </c>
      <c r="R30" s="7"/>
    </row>
    <row r="31" customFormat="false" ht="22.35" hidden="false" customHeight="false" outlineLevel="0" collapsed="false">
      <c r="A31" s="6" t="n">
        <v>26</v>
      </c>
      <c r="B31" s="7" t="s">
        <v>87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43</v>
      </c>
      <c r="Q31" s="7" t="s">
        <v>84</v>
      </c>
      <c r="R31" s="7"/>
    </row>
    <row r="32" customFormat="false" ht="32.8" hidden="false" customHeight="false" outlineLevel="0" collapsed="false">
      <c r="A32" s="6" t="n">
        <v>27</v>
      </c>
      <c r="B32" s="7" t="s">
        <v>88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4300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24</v>
      </c>
      <c r="Q32" s="7" t="s">
        <v>89</v>
      </c>
      <c r="R32" s="7" t="s">
        <v>90</v>
      </c>
    </row>
    <row r="33" customFormat="false" ht="32.8" hidden="false" customHeight="false" outlineLevel="0" collapsed="false">
      <c r="A33" s="6" t="n">
        <v>28</v>
      </c>
      <c r="B33" s="7" t="s">
        <v>91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4300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24</v>
      </c>
      <c r="Q33" s="7" t="s">
        <v>89</v>
      </c>
      <c r="R33" s="7" t="s">
        <v>90</v>
      </c>
    </row>
    <row r="34" customFormat="false" ht="15" hidden="false" customHeight="false" outlineLevel="0" collapsed="false">
      <c r="A34" s="6" t="n">
        <v>30</v>
      </c>
      <c r="B34" s="7" t="s">
        <v>92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93</v>
      </c>
      <c r="R34" s="7"/>
    </row>
    <row r="35" customFormat="false" ht="22.35" hidden="false" customHeight="false" outlineLevel="0" collapsed="false">
      <c r="A35" s="6" t="n">
        <v>31</v>
      </c>
      <c r="B35" s="7" t="s">
        <v>94</v>
      </c>
      <c r="C35" s="6" t="s">
        <v>28</v>
      </c>
      <c r="D35" s="6" t="n">
        <v>3</v>
      </c>
      <c r="E35" s="8" t="n">
        <v>2210</v>
      </c>
      <c r="F35" s="7" t="s">
        <v>28</v>
      </c>
      <c r="G35" s="9" t="n">
        <v>5300</v>
      </c>
      <c r="H35" s="9" t="n">
        <v>5800</v>
      </c>
      <c r="I35" s="10" t="n">
        <f aca="false">IF(E35=0,0,(E35-H35)/E35)</f>
        <v>-1.62443438914027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6670</v>
      </c>
      <c r="L35" s="8" t="n">
        <f aca="false">D35*E35</f>
        <v>6630</v>
      </c>
      <c r="M35" s="8" t="n">
        <f aca="false">D35*K35</f>
        <v>20010</v>
      </c>
      <c r="N35" s="8" t="n">
        <f aca="false">D35*H35</f>
        <v>17400</v>
      </c>
      <c r="O35" s="6" t="str">
        <f aca="false">IF(ISNUMBER(SEARCH(C35,F35)),"","YES")</f>
        <v/>
      </c>
      <c r="P35" s="6" t="s">
        <v>24</v>
      </c>
      <c r="Q35" s="7" t="s">
        <v>95</v>
      </c>
      <c r="R35" s="7" t="s">
        <v>96</v>
      </c>
    </row>
    <row r="36" customFormat="false" ht="32.8" hidden="false" customHeight="false" outlineLevel="0" collapsed="false">
      <c r="A36" s="6" t="n">
        <v>32</v>
      </c>
      <c r="B36" s="7" t="s">
        <v>97</v>
      </c>
      <c r="C36" s="6" t="s">
        <v>28</v>
      </c>
      <c r="D36" s="6" t="n">
        <v>3</v>
      </c>
      <c r="E36" s="8" t="n">
        <v>2886</v>
      </c>
      <c r="F36" s="7" t="s">
        <v>28</v>
      </c>
      <c r="G36" s="9" t="n">
        <v>6300</v>
      </c>
      <c r="H36" s="9" t="n">
        <v>6800</v>
      </c>
      <c r="I36" s="10" t="n">
        <f aca="false">IF(E36=0,0,(E36-H36)/E36)</f>
        <v>-1.35620235620236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7820</v>
      </c>
      <c r="L36" s="8" t="n">
        <f aca="false">D36*E36</f>
        <v>8658</v>
      </c>
      <c r="M36" s="8" t="n">
        <f aca="false">D36*K36</f>
        <v>23460</v>
      </c>
      <c r="N36" s="8" t="n">
        <f aca="false">D36*H36</f>
        <v>20400</v>
      </c>
      <c r="O36" s="6" t="str">
        <f aca="false">IF(ISNUMBER(SEARCH(C36,F36)),"","YES")</f>
        <v/>
      </c>
      <c r="P36" s="6" t="s">
        <v>24</v>
      </c>
      <c r="Q36" s="7" t="s">
        <v>98</v>
      </c>
      <c r="R36" s="7" t="s">
        <v>99</v>
      </c>
    </row>
    <row r="37" customFormat="false" ht="15" hidden="false" customHeight="false" outlineLevel="0" collapsed="false">
      <c r="A37" s="6" t="n">
        <v>33</v>
      </c>
      <c r="B37" s="7" t="s">
        <v>100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101</v>
      </c>
      <c r="R37" s="7"/>
    </row>
    <row r="38" customFormat="false" ht="32.8" hidden="false" customHeight="false" outlineLevel="0" collapsed="false">
      <c r="A38" s="6" t="n">
        <v>34</v>
      </c>
      <c r="B38" s="7" t="s">
        <v>102</v>
      </c>
      <c r="C38" s="6" t="s">
        <v>28</v>
      </c>
      <c r="D38" s="6" t="n">
        <v>2</v>
      </c>
      <c r="E38" s="8" t="n">
        <v>6120</v>
      </c>
      <c r="F38" s="7" t="s">
        <v>28</v>
      </c>
      <c r="G38" s="9" t="n">
        <v>14000</v>
      </c>
      <c r="H38" s="9" t="n">
        <v>16000</v>
      </c>
      <c r="I38" s="10" t="n">
        <f aca="false">IF(E38=0,0,(E38-H38)/E38)</f>
        <v>-1.61437908496732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18400</v>
      </c>
      <c r="L38" s="8" t="n">
        <f aca="false">D38*E38</f>
        <v>12240</v>
      </c>
      <c r="M38" s="8" t="n">
        <f aca="false">D38*K38</f>
        <v>36800</v>
      </c>
      <c r="N38" s="8" t="n">
        <f aca="false">D38*H38</f>
        <v>32000</v>
      </c>
      <c r="O38" s="6" t="str">
        <f aca="false">IF(ISNUMBER(SEARCH(C38,F38)),"","YES")</f>
        <v/>
      </c>
      <c r="P38" s="6" t="s">
        <v>24</v>
      </c>
      <c r="Q38" s="7" t="s">
        <v>103</v>
      </c>
      <c r="R38" s="7" t="s">
        <v>104</v>
      </c>
    </row>
    <row r="39" customFormat="false" ht="22.35" hidden="false" customHeight="false" outlineLevel="0" collapsed="false">
      <c r="A39" s="6" t="n">
        <v>35</v>
      </c>
      <c r="B39" s="7" t="s">
        <v>105</v>
      </c>
      <c r="C39" s="6" t="s">
        <v>28</v>
      </c>
      <c r="D39" s="6" t="n">
        <v>2</v>
      </c>
      <c r="E39" s="8" t="n">
        <v>12870</v>
      </c>
      <c r="F39" s="7" t="s">
        <v>28</v>
      </c>
      <c r="G39" s="9" t="n">
        <v>30000</v>
      </c>
      <c r="H39" s="9" t="n">
        <v>36000</v>
      </c>
      <c r="I39" s="10" t="n">
        <f aca="false">IF(E39=0,0,(E39-H39)/E39)</f>
        <v>-1.7972027972028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41400</v>
      </c>
      <c r="L39" s="8" t="n">
        <f aca="false">D39*E39</f>
        <v>25740</v>
      </c>
      <c r="M39" s="8" t="n">
        <f aca="false">D39*K39</f>
        <v>82800</v>
      </c>
      <c r="N39" s="8" t="n">
        <f aca="false">D39*H39</f>
        <v>72000</v>
      </c>
      <c r="O39" s="6" t="str">
        <f aca="false">IF(ISNUMBER(SEARCH(C39,F39)),"","YES")</f>
        <v/>
      </c>
      <c r="P39" s="6" t="s">
        <v>24</v>
      </c>
      <c r="Q39" s="7" t="s">
        <v>106</v>
      </c>
      <c r="R39" s="7" t="s">
        <v>107</v>
      </c>
    </row>
    <row r="40" customFormat="false" ht="22.35" hidden="false" customHeight="false" outlineLevel="0" collapsed="false">
      <c r="A40" s="6" t="n">
        <v>36</v>
      </c>
      <c r="B40" s="7" t="s">
        <v>108</v>
      </c>
      <c r="C40" s="6" t="s">
        <v>28</v>
      </c>
      <c r="D40" s="6" t="n">
        <v>3</v>
      </c>
      <c r="E40" s="8" t="n">
        <v>1950</v>
      </c>
      <c r="F40" s="7" t="s">
        <v>28</v>
      </c>
      <c r="G40" s="9" t="n">
        <v>5400</v>
      </c>
      <c r="H40" s="9" t="n">
        <v>6300</v>
      </c>
      <c r="I40" s="10" t="n">
        <f aca="false">IF(E40=0,0,(E40-H40)/E40)</f>
        <v>-2.23076923076923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7250</v>
      </c>
      <c r="L40" s="8" t="n">
        <f aca="false">D40*E40</f>
        <v>5850</v>
      </c>
      <c r="M40" s="8" t="n">
        <f aca="false">D40*K40</f>
        <v>21750</v>
      </c>
      <c r="N40" s="8" t="n">
        <f aca="false">D40*H40</f>
        <v>18900</v>
      </c>
      <c r="O40" s="6" t="str">
        <f aca="false">IF(ISNUMBER(SEARCH(C40,F40)),"","YES")</f>
        <v/>
      </c>
      <c r="P40" s="6" t="s">
        <v>24</v>
      </c>
      <c r="Q40" s="7" t="s">
        <v>109</v>
      </c>
      <c r="R40" s="7" t="s">
        <v>110</v>
      </c>
    </row>
    <row r="41" customFormat="false" ht="32.8" hidden="false" customHeight="false" outlineLevel="0" collapsed="false">
      <c r="A41" s="6" t="n">
        <v>37</v>
      </c>
      <c r="B41" s="7" t="s">
        <v>111</v>
      </c>
      <c r="C41" s="6" t="s">
        <v>28</v>
      </c>
      <c r="D41" s="6" t="n">
        <v>3</v>
      </c>
      <c r="E41" s="8" t="n">
        <v>4550</v>
      </c>
      <c r="F41" s="7" t="s">
        <v>28</v>
      </c>
      <c r="G41" s="9" t="n">
        <v>8200</v>
      </c>
      <c r="H41" s="9" t="n">
        <v>9500</v>
      </c>
      <c r="I41" s="10" t="n">
        <f aca="false">IF(E41=0,0,(E41-H41)/E41)</f>
        <v>-1.08791208791209</v>
      </c>
      <c r="J41" s="6" t="str">
        <f aca="false">IF(E41&lt;G41,"LOSS",IF(E41&lt;H41*1.1,"THIN / RISK",IF(E41&gt;H41*1.8,"OVERPRICED?","OK")))</f>
        <v>LOSS</v>
      </c>
      <c r="K41" s="8" t="n">
        <f aca="false">IF(J41="OVERPRICED?",ROUND(H41*1.35,-1),MAX(E41,ROUND(H41*(1+$E$3),-1)))</f>
        <v>10930</v>
      </c>
      <c r="L41" s="8" t="n">
        <f aca="false">D41*E41</f>
        <v>13650</v>
      </c>
      <c r="M41" s="8" t="n">
        <f aca="false">D41*K41</f>
        <v>32790</v>
      </c>
      <c r="N41" s="8" t="n">
        <f aca="false">D41*H41</f>
        <v>28500</v>
      </c>
      <c r="O41" s="6" t="str">
        <f aca="false">IF(ISNUMBER(SEARCH(C41,F41)),"","YES")</f>
        <v/>
      </c>
      <c r="P41" s="6" t="s">
        <v>24</v>
      </c>
      <c r="Q41" s="7" t="s">
        <v>112</v>
      </c>
      <c r="R41" s="7" t="s">
        <v>113</v>
      </c>
    </row>
    <row r="42" customFormat="false" ht="32.8" hidden="false" customHeight="false" outlineLevel="0" collapsed="false">
      <c r="A42" s="6" t="n">
        <v>38</v>
      </c>
      <c r="B42" s="7" t="s">
        <v>114</v>
      </c>
      <c r="C42" s="6" t="s">
        <v>28</v>
      </c>
      <c r="D42" s="6" t="n">
        <v>3</v>
      </c>
      <c r="E42" s="8" t="n">
        <v>6240</v>
      </c>
      <c r="F42" s="7" t="s">
        <v>28</v>
      </c>
      <c r="G42" s="9" t="n">
        <v>6000</v>
      </c>
      <c r="H42" s="9" t="n">
        <v>7000</v>
      </c>
      <c r="I42" s="10" t="n">
        <f aca="false">IF(E42=0,0,(E42-H42)/E42)</f>
        <v>-0.121794871794872</v>
      </c>
      <c r="J42" s="6" t="str">
        <f aca="false">IF(E42&lt;G42,"LOSS",IF(E42&lt;H42*1.1,"THIN / RISK",IF(E42&gt;H42*1.8,"OVERPRICED?","OK")))</f>
        <v>THIN / RISK</v>
      </c>
      <c r="K42" s="8" t="n">
        <f aca="false">IF(J42="OVERPRICED?",ROUND(H42*1.35,-1),MAX(E42,ROUND(H42*(1+$E$3),-1)))</f>
        <v>8050</v>
      </c>
      <c r="L42" s="8" t="n">
        <f aca="false">D42*E42</f>
        <v>18720</v>
      </c>
      <c r="M42" s="8" t="n">
        <f aca="false">D42*K42</f>
        <v>24150</v>
      </c>
      <c r="N42" s="8" t="n">
        <f aca="false">D42*H42</f>
        <v>21000</v>
      </c>
      <c r="O42" s="6" t="str">
        <f aca="false">IF(ISNUMBER(SEARCH(C42,F42)),"","YES")</f>
        <v/>
      </c>
      <c r="P42" s="6" t="s">
        <v>24</v>
      </c>
      <c r="Q42" s="7" t="s">
        <v>115</v>
      </c>
      <c r="R42" s="7" t="s">
        <v>116</v>
      </c>
    </row>
    <row r="43" customFormat="false" ht="22.35" hidden="false" customHeight="false" outlineLevel="0" collapsed="false">
      <c r="A43" s="6" t="n">
        <v>39</v>
      </c>
      <c r="B43" s="7" t="s">
        <v>117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51</v>
      </c>
      <c r="Q43" s="7" t="s">
        <v>118</v>
      </c>
      <c r="R43" s="7" t="s">
        <v>53</v>
      </c>
    </row>
    <row r="44" customFormat="false" ht="22.35" hidden="false" customHeight="false" outlineLevel="0" collapsed="false">
      <c r="A44" s="6" t="n">
        <v>40</v>
      </c>
      <c r="B44" s="7" t="s">
        <v>119</v>
      </c>
      <c r="C44" s="6" t="s">
        <v>120</v>
      </c>
      <c r="D44" s="6" t="n">
        <v>3</v>
      </c>
      <c r="E44" s="8" t="n">
        <v>79300</v>
      </c>
      <c r="F44" s="7" t="s">
        <v>120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121</v>
      </c>
      <c r="R44" s="7"/>
    </row>
    <row r="45" customFormat="false" ht="32.8" hidden="false" customHeight="false" outlineLevel="0" collapsed="false">
      <c r="A45" s="6" t="n">
        <v>41</v>
      </c>
      <c r="B45" s="7" t="s">
        <v>122</v>
      </c>
      <c r="C45" s="6" t="s">
        <v>120</v>
      </c>
      <c r="D45" s="6" t="n">
        <v>3</v>
      </c>
      <c r="E45" s="8" t="n">
        <v>128700</v>
      </c>
      <c r="F45" s="7" t="s">
        <v>123</v>
      </c>
      <c r="G45" s="9" t="n">
        <v>80000</v>
      </c>
      <c r="H45" s="9" t="n">
        <v>100000</v>
      </c>
      <c r="I45" s="10" t="n">
        <f aca="false">IF(E45=0,0,(E45-H45)/E45)</f>
        <v>0.222999222999223</v>
      </c>
      <c r="J45" s="6" t="str">
        <f aca="false">IF(E45&lt;G45,"LOSS",IF(E45&lt;H45*1.1,"THIN / RISK",IF(E45&gt;H45*1.8,"OVERPRICED?","OK")))</f>
        <v>OK</v>
      </c>
      <c r="K45" s="8" t="n">
        <f aca="false">IF(J45="OVERPRICED?",ROUND(H45*1.35,-1),MAX(E45,ROUND(H45*(1+$E$3),-1)))</f>
        <v>128700</v>
      </c>
      <c r="L45" s="8" t="n">
        <f aca="false">D45*E45</f>
        <v>386100</v>
      </c>
      <c r="M45" s="8" t="n">
        <f aca="false">D45*K45</f>
        <v>386100</v>
      </c>
      <c r="N45" s="8" t="n">
        <f aca="false">D45*H45</f>
        <v>300000</v>
      </c>
      <c r="O45" s="6" t="str">
        <f aca="false">IF(ISNUMBER(SEARCH(C45,F45)),"","YES")</f>
        <v/>
      </c>
      <c r="P45" s="6" t="s">
        <v>24</v>
      </c>
      <c r="Q45" s="7" t="s">
        <v>124</v>
      </c>
      <c r="R45" s="7" t="s">
        <v>125</v>
      </c>
    </row>
    <row r="46" customFormat="false" ht="22.35" hidden="false" customHeight="false" outlineLevel="0" collapsed="false">
      <c r="A46" s="6" t="n">
        <v>42</v>
      </c>
      <c r="B46" s="7" t="s">
        <v>126</v>
      </c>
      <c r="C46" s="6" t="s">
        <v>120</v>
      </c>
      <c r="D46" s="6" t="n">
        <v>2</v>
      </c>
      <c r="E46" s="8" t="n">
        <v>106600</v>
      </c>
      <c r="F46" s="7" t="s">
        <v>120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127</v>
      </c>
      <c r="R46" s="7"/>
    </row>
    <row r="47" customFormat="false" ht="22.35" hidden="false" customHeight="false" outlineLevel="0" collapsed="false">
      <c r="A47" s="6" t="n">
        <v>43</v>
      </c>
      <c r="B47" s="7" t="s">
        <v>128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1300</v>
      </c>
      <c r="H47" s="9" t="n">
        <v>1600</v>
      </c>
      <c r="I47" s="10" t="n">
        <f aca="false">IF(E47=0,0,(E47-H47)/E47)</f>
        <v>-0.0256410256410256</v>
      </c>
      <c r="J47" s="6" t="str">
        <f aca="false">IF(E47&lt;G47,"LOSS",IF(E47&lt;H47*1.1,"THIN / RISK",IF(E47&gt;H47*1.8,"OVERPRICED?","OK")))</f>
        <v>THIN / RISK</v>
      </c>
      <c r="K47" s="8" t="n">
        <f aca="false">IF(J47="OVERPRICED?",ROUND(H47*1.35,-1),MAX(E47,ROUND(H47*(1+$E$3),-1)))</f>
        <v>1840</v>
      </c>
      <c r="L47" s="8" t="n">
        <f aca="false">D47*E47</f>
        <v>6240</v>
      </c>
      <c r="M47" s="8" t="n">
        <f aca="false">D47*K47</f>
        <v>7360</v>
      </c>
      <c r="N47" s="8" t="n">
        <f aca="false">D47*H47</f>
        <v>6400</v>
      </c>
      <c r="O47" s="6" t="str">
        <f aca="false">IF(ISNUMBER(SEARCH(C47,F47)),"","YES")</f>
        <v/>
      </c>
      <c r="P47" s="6" t="s">
        <v>24</v>
      </c>
      <c r="Q47" s="7" t="s">
        <v>129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130</v>
      </c>
      <c r="C48" s="6" t="s">
        <v>28</v>
      </c>
      <c r="D48" s="6" t="n">
        <v>4</v>
      </c>
      <c r="E48" s="8" t="n">
        <v>1950</v>
      </c>
      <c r="F48" s="7" t="s">
        <v>131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132</v>
      </c>
      <c r="R48" s="7"/>
    </row>
    <row r="49" customFormat="false" ht="22.35" hidden="false" customHeight="false" outlineLevel="0" collapsed="false">
      <c r="A49" s="6" t="n">
        <v>45</v>
      </c>
      <c r="B49" s="7" t="s">
        <v>133</v>
      </c>
      <c r="C49" s="6" t="s">
        <v>28</v>
      </c>
      <c r="D49" s="6" t="n">
        <v>4</v>
      </c>
      <c r="E49" s="8" t="n">
        <v>2210</v>
      </c>
      <c r="F49" s="7" t="s">
        <v>131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134</v>
      </c>
      <c r="R49" s="7" t="s">
        <v>135</v>
      </c>
    </row>
    <row r="50" customFormat="false" ht="22.35" hidden="false" customHeight="false" outlineLevel="0" collapsed="false">
      <c r="A50" s="6" t="n">
        <v>47</v>
      </c>
      <c r="B50" s="7" t="s">
        <v>136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15000</v>
      </c>
      <c r="H50" s="9" t="n">
        <v>20000</v>
      </c>
      <c r="I50" s="10" t="n">
        <f aca="false">IF(E50=0,0,(E50-H50)/E50)</f>
        <v>-0.538461538461538</v>
      </c>
      <c r="J50" s="6" t="str">
        <f aca="false">IF(E50&lt;G50,"LOSS",IF(E50&lt;H50*1.1,"THIN / RISK",IF(E50&gt;H50*1.8,"OVERPRICED?","OK")))</f>
        <v>LOSS</v>
      </c>
      <c r="K50" s="8" t="n">
        <f aca="false">IF(J50="OVERPRICED?",ROUND(H50*1.35,-1),MAX(E50,ROUND(H50*(1+$E$3),-1)))</f>
        <v>23000</v>
      </c>
      <c r="L50" s="8" t="n">
        <f aca="false">D50*E50</f>
        <v>39000</v>
      </c>
      <c r="M50" s="8" t="n">
        <f aca="false">D50*K50</f>
        <v>69000</v>
      </c>
      <c r="N50" s="8" t="n">
        <f aca="false">D50*H50</f>
        <v>60000</v>
      </c>
      <c r="O50" s="6" t="str">
        <f aca="false">IF(ISNUMBER(SEARCH(C50,F50)),"","YES")</f>
        <v/>
      </c>
      <c r="P50" s="6" t="s">
        <v>24</v>
      </c>
      <c r="Q50" s="7" t="s">
        <v>137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138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20000</v>
      </c>
      <c r="H51" s="9" t="n">
        <v>26000</v>
      </c>
      <c r="I51" s="10" t="n">
        <f aca="false">IF(E51=0,0,(E51-H51)/E51)</f>
        <v>-0.666666666666667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29900</v>
      </c>
      <c r="L51" s="8" t="n">
        <f aca="false">D51*E51</f>
        <v>31200</v>
      </c>
      <c r="M51" s="8" t="n">
        <f aca="false">D51*K51</f>
        <v>59800</v>
      </c>
      <c r="N51" s="8" t="n">
        <f aca="false">D51*H51</f>
        <v>52000</v>
      </c>
      <c r="O51" s="6" t="str">
        <f aca="false">IF(ISNUMBER(SEARCH(C51,F51)),"","YES")</f>
        <v/>
      </c>
      <c r="P51" s="6" t="s">
        <v>24</v>
      </c>
      <c r="Q51" s="7" t="s">
        <v>139</v>
      </c>
      <c r="R51" s="7" t="s">
        <v>31</v>
      </c>
    </row>
    <row r="52" customFormat="false" ht="22.35" hidden="false" customHeight="false" outlineLevel="0" collapsed="false">
      <c r="A52" s="6" t="n">
        <v>49</v>
      </c>
      <c r="B52" s="7" t="s">
        <v>140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24000</v>
      </c>
      <c r="H52" s="9" t="n">
        <v>30000</v>
      </c>
      <c r="I52" s="10" t="n">
        <f aca="false">IF(E52=0,0,(E52-H52)/E52)</f>
        <v>-0.442307692307692</v>
      </c>
      <c r="J52" s="6" t="str">
        <f aca="false">IF(E52&lt;G52,"LOSS",IF(E52&lt;H52*1.1,"THIN / RISK",IF(E52&gt;H52*1.8,"OVERPRICED?","OK")))</f>
        <v>LOSS</v>
      </c>
      <c r="K52" s="8" t="n">
        <f aca="false">IF(J52="OVERPRICED?",ROUND(H52*1.35,-1),MAX(E52,ROUND(H52*(1+$E$3),-1)))</f>
        <v>34500</v>
      </c>
      <c r="L52" s="8" t="n">
        <f aca="false">D52*E52</f>
        <v>20800</v>
      </c>
      <c r="M52" s="8" t="n">
        <f aca="false">D52*K52</f>
        <v>34500</v>
      </c>
      <c r="N52" s="8" t="n">
        <f aca="false">D52*H52</f>
        <v>30000</v>
      </c>
      <c r="O52" s="6" t="str">
        <f aca="false">IF(ISNUMBER(SEARCH(C52,F52)),"","YES")</f>
        <v/>
      </c>
      <c r="P52" s="6" t="s">
        <v>24</v>
      </c>
      <c r="Q52" s="7" t="s">
        <v>141</v>
      </c>
      <c r="R52" s="7" t="s">
        <v>31</v>
      </c>
    </row>
    <row r="53" customFormat="false" ht="22.35" hidden="false" customHeight="false" outlineLevel="0" collapsed="false">
      <c r="A53" s="6" t="n">
        <v>50</v>
      </c>
      <c r="B53" s="7" t="s">
        <v>142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32000</v>
      </c>
      <c r="H53" s="9" t="n">
        <v>40000</v>
      </c>
      <c r="I53" s="10" t="n">
        <f aca="false">IF(E53=0,0,(E53-H53)/E53)</f>
        <v>-0.398601398601399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46000</v>
      </c>
      <c r="L53" s="8" t="n">
        <f aca="false">D53*E53</f>
        <v>28600</v>
      </c>
      <c r="M53" s="8" t="n">
        <f aca="false">D53*K53</f>
        <v>46000</v>
      </c>
      <c r="N53" s="8" t="n">
        <f aca="false">D53*H53</f>
        <v>40000</v>
      </c>
      <c r="O53" s="6" t="str">
        <f aca="false">IF(ISNUMBER(SEARCH(C53,F53)),"","YES")</f>
        <v/>
      </c>
      <c r="P53" s="6" t="s">
        <v>24</v>
      </c>
      <c r="Q53" s="7" t="s">
        <v>143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144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32000</v>
      </c>
      <c r="H54" s="9" t="n">
        <v>42000</v>
      </c>
      <c r="I54" s="10" t="n">
        <f aca="false">IF(E54=0,0,(E54-H54)/E54)</f>
        <v>-0.292307692307692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48300</v>
      </c>
      <c r="L54" s="8" t="n">
        <f aca="false">D54*E54</f>
        <v>32500</v>
      </c>
      <c r="M54" s="8" t="n">
        <f aca="false">D54*K54</f>
        <v>48300</v>
      </c>
      <c r="N54" s="8" t="n">
        <f aca="false">D54*H54</f>
        <v>42000</v>
      </c>
      <c r="O54" s="6" t="str">
        <f aca="false">IF(ISNUMBER(SEARCH(C54,F54)),"","YES")</f>
        <v/>
      </c>
      <c r="P54" s="6" t="s">
        <v>24</v>
      </c>
      <c r="Q54" s="7" t="s">
        <v>145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146</v>
      </c>
      <c r="C55" s="6" t="s">
        <v>28</v>
      </c>
      <c r="D55" s="6" t="n">
        <v>2</v>
      </c>
      <c r="E55" s="8" t="n">
        <v>18200</v>
      </c>
      <c r="F55" s="7" t="s">
        <v>28</v>
      </c>
      <c r="G55" s="9" t="n">
        <v>16000</v>
      </c>
      <c r="H55" s="9" t="n">
        <v>19000</v>
      </c>
      <c r="I55" s="10" t="n">
        <f aca="false">IF(E55=0,0,(E55-H55)/E55)</f>
        <v>-0.043956043956044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21850</v>
      </c>
      <c r="L55" s="8" t="n">
        <f aca="false">D55*E55</f>
        <v>36400</v>
      </c>
      <c r="M55" s="8" t="n">
        <f aca="false">D55*K55</f>
        <v>43700</v>
      </c>
      <c r="N55" s="8" t="n">
        <f aca="false">D55*H55</f>
        <v>38000</v>
      </c>
      <c r="O55" s="6" t="str">
        <f aca="false">IF(ISNUMBER(SEARCH(C55,F55)),"","YES")</f>
        <v/>
      </c>
      <c r="P55" s="6" t="s">
        <v>24</v>
      </c>
      <c r="Q55" s="7" t="s">
        <v>147</v>
      </c>
      <c r="R55" s="7" t="s">
        <v>148</v>
      </c>
    </row>
    <row r="56" customFormat="false" ht="32.8" hidden="false" customHeight="false" outlineLevel="0" collapsed="false">
      <c r="A56" s="6" t="n">
        <v>53</v>
      </c>
      <c r="B56" s="7" t="s">
        <v>149</v>
      </c>
      <c r="C56" s="6" t="s">
        <v>28</v>
      </c>
      <c r="D56" s="6" t="n">
        <v>1</v>
      </c>
      <c r="E56" s="8" t="n">
        <v>23400</v>
      </c>
      <c r="F56" s="7" t="s">
        <v>28</v>
      </c>
      <c r="G56" s="9" t="n">
        <v>24000</v>
      </c>
      <c r="H56" s="9" t="n">
        <v>28000</v>
      </c>
      <c r="I56" s="10" t="n">
        <f aca="false">IF(E56=0,0,(E56-H56)/E56)</f>
        <v>-0.196581196581197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32200</v>
      </c>
      <c r="L56" s="8" t="n">
        <f aca="false">D56*E56</f>
        <v>23400</v>
      </c>
      <c r="M56" s="8" t="n">
        <f aca="false">D56*K56</f>
        <v>32200</v>
      </c>
      <c r="N56" s="8" t="n">
        <f aca="false">D56*H56</f>
        <v>28000</v>
      </c>
      <c r="O56" s="6" t="str">
        <f aca="false">IF(ISNUMBER(SEARCH(C56,F56)),"","YES")</f>
        <v/>
      </c>
      <c r="P56" s="6" t="s">
        <v>24</v>
      </c>
      <c r="Q56" s="7" t="s">
        <v>150</v>
      </c>
      <c r="R56" s="7" t="s">
        <v>151</v>
      </c>
    </row>
    <row r="57" customFormat="false" ht="22.35" hidden="false" customHeight="false" outlineLevel="0" collapsed="false">
      <c r="A57" s="6" t="n">
        <v>54</v>
      </c>
      <c r="B57" s="7" t="s">
        <v>152</v>
      </c>
      <c r="C57" s="6" t="s">
        <v>120</v>
      </c>
      <c r="D57" s="6" t="n">
        <v>2</v>
      </c>
      <c r="E57" s="8" t="n">
        <v>400946</v>
      </c>
      <c r="F57" s="7" t="s">
        <v>120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153</v>
      </c>
      <c r="R57" s="7"/>
    </row>
    <row r="58" customFormat="false" ht="22.35" hidden="false" customHeight="false" outlineLevel="0" collapsed="false">
      <c r="A58" s="6" t="n">
        <v>55</v>
      </c>
      <c r="B58" s="7" t="s">
        <v>154</v>
      </c>
      <c r="C58" s="6" t="s">
        <v>28</v>
      </c>
      <c r="D58" s="6" t="n">
        <v>2</v>
      </c>
      <c r="E58" s="8" t="n">
        <v>15600</v>
      </c>
      <c r="F58" s="7" t="s">
        <v>155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156</v>
      </c>
      <c r="R58" s="7" t="s">
        <v>157</v>
      </c>
    </row>
    <row r="59" customFormat="false" ht="22.35" hidden="false" customHeight="false" outlineLevel="0" collapsed="false">
      <c r="A59" s="6" t="n">
        <v>56</v>
      </c>
      <c r="B59" s="7" t="s">
        <v>158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10000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159</v>
      </c>
      <c r="R59" s="7" t="s">
        <v>160</v>
      </c>
    </row>
    <row r="60" customFormat="false" ht="15" hidden="false" customHeight="false" outlineLevel="0" collapsed="false">
      <c r="A60" s="6" t="n">
        <v>57</v>
      </c>
      <c r="B60" s="7" t="s">
        <v>161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162</v>
      </c>
      <c r="R60" s="7"/>
    </row>
    <row r="61" customFormat="false" ht="15" hidden="false" customHeight="false" outlineLevel="0" collapsed="false">
      <c r="A61" s="6" t="n">
        <v>58</v>
      </c>
      <c r="B61" s="7" t="s">
        <v>163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156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164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156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165</v>
      </c>
      <c r="C63" s="6" t="s">
        <v>28</v>
      </c>
      <c r="D63" s="6" t="n">
        <v>2</v>
      </c>
      <c r="E63" s="8" t="n">
        <v>9100</v>
      </c>
      <c r="F63" s="7" t="s">
        <v>131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166</v>
      </c>
      <c r="R63" s="7" t="s">
        <v>167</v>
      </c>
    </row>
    <row r="64" customFormat="false" ht="32.8" hidden="false" customHeight="false" outlineLevel="0" collapsed="false">
      <c r="A64" s="6" t="n">
        <v>61</v>
      </c>
      <c r="B64" s="7" t="s">
        <v>168</v>
      </c>
      <c r="C64" s="6" t="s">
        <v>28</v>
      </c>
      <c r="D64" s="6" t="n">
        <v>2</v>
      </c>
      <c r="E64" s="8" t="n">
        <v>5850</v>
      </c>
      <c r="F64" s="7" t="s">
        <v>131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156</v>
      </c>
      <c r="R64" s="7" t="s">
        <v>169</v>
      </c>
    </row>
    <row r="65" customFormat="false" ht="15" hidden="false" customHeight="false" outlineLevel="0" collapsed="false">
      <c r="A65" s="6" t="n">
        <v>62</v>
      </c>
      <c r="B65" s="7" t="s">
        <v>170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3200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171</v>
      </c>
      <c r="R65" s="7" t="s">
        <v>172</v>
      </c>
    </row>
    <row r="66" customFormat="false" ht="22.35" hidden="false" customHeight="false" outlineLevel="0" collapsed="false">
      <c r="A66" s="6" t="n">
        <v>63</v>
      </c>
      <c r="B66" s="7" t="s">
        <v>173</v>
      </c>
      <c r="C66" s="6" t="s">
        <v>28</v>
      </c>
      <c r="D66" s="6" t="n">
        <v>1</v>
      </c>
      <c r="E66" s="8" t="n">
        <v>5551</v>
      </c>
      <c r="F66" s="7" t="s">
        <v>28</v>
      </c>
      <c r="G66" s="9" t="n">
        <v>10500</v>
      </c>
      <c r="H66" s="9" t="n">
        <v>12500</v>
      </c>
      <c r="I66" s="10" t="n">
        <f aca="false">IF(E66=0,0,(E66-H66)/E66)</f>
        <v>-1.2518465141416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14380</v>
      </c>
      <c r="L66" s="8" t="n">
        <f aca="false">D66*E66</f>
        <v>5551</v>
      </c>
      <c r="M66" s="8" t="n">
        <f aca="false">D66*K66</f>
        <v>14380</v>
      </c>
      <c r="N66" s="8" t="n">
        <f aca="false">D66*H66</f>
        <v>12500</v>
      </c>
      <c r="O66" s="6" t="str">
        <f aca="false">IF(ISNUMBER(SEARCH(C66,F66)),"","YES")</f>
        <v/>
      </c>
      <c r="P66" s="6" t="s">
        <v>24</v>
      </c>
      <c r="Q66" s="7" t="s">
        <v>174</v>
      </c>
      <c r="R66" s="7" t="s">
        <v>175</v>
      </c>
    </row>
    <row r="67" customFormat="false" ht="15" hidden="false" customHeight="false" outlineLevel="0" collapsed="false">
      <c r="A67" s="6" t="n">
        <v>64</v>
      </c>
      <c r="B67" s="7" t="s">
        <v>176</v>
      </c>
      <c r="C67" s="6" t="s">
        <v>28</v>
      </c>
      <c r="D67" s="6" t="n">
        <v>3</v>
      </c>
      <c r="E67" s="8" t="n">
        <v>1560</v>
      </c>
      <c r="F67" s="7" t="s">
        <v>131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177</v>
      </c>
      <c r="R67" s="7"/>
    </row>
    <row r="68" customFormat="false" ht="15" hidden="false" customHeight="false" outlineLevel="0" collapsed="false">
      <c r="A68" s="6" t="n">
        <v>65</v>
      </c>
      <c r="B68" s="7" t="s">
        <v>178</v>
      </c>
      <c r="C68" s="6" t="s">
        <v>28</v>
      </c>
      <c r="D68" s="6" t="n">
        <v>3</v>
      </c>
      <c r="E68" s="8" t="n">
        <v>1560</v>
      </c>
      <c r="F68" s="7" t="s">
        <v>131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177</v>
      </c>
      <c r="R68" s="7"/>
    </row>
    <row r="69" customFormat="false" ht="15" hidden="false" customHeight="false" outlineLevel="0" collapsed="false">
      <c r="A69" s="6" t="n">
        <v>66</v>
      </c>
      <c r="B69" s="7" t="s">
        <v>179</v>
      </c>
      <c r="C69" s="6" t="s">
        <v>28</v>
      </c>
      <c r="D69" s="6" t="n">
        <v>2</v>
      </c>
      <c r="E69" s="8" t="n">
        <v>11700</v>
      </c>
      <c r="F69" s="7" t="s">
        <v>180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156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181</v>
      </c>
      <c r="C70" s="6" t="s">
        <v>28</v>
      </c>
      <c r="D70" s="6" t="n">
        <v>2</v>
      </c>
      <c r="E70" s="8" t="n">
        <v>9750</v>
      </c>
      <c r="F70" s="7" t="s">
        <v>180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156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182</v>
      </c>
      <c r="C71" s="6" t="s">
        <v>28</v>
      </c>
      <c r="D71" s="6" t="n">
        <v>2</v>
      </c>
      <c r="E71" s="8" t="n">
        <v>23400</v>
      </c>
      <c r="F71" s="7" t="s">
        <v>183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156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184</v>
      </c>
      <c r="C72" s="6" t="s">
        <v>28</v>
      </c>
      <c r="D72" s="6" t="n">
        <v>1</v>
      </c>
      <c r="E72" s="8" t="n">
        <v>32500</v>
      </c>
      <c r="F72" s="7" t="s">
        <v>183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156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185</v>
      </c>
      <c r="C73" s="6" t="s">
        <v>28</v>
      </c>
      <c r="D73" s="6" t="n">
        <v>1</v>
      </c>
      <c r="E73" s="8" t="n">
        <v>1105</v>
      </c>
      <c r="F73" s="7" t="s">
        <v>131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156</v>
      </c>
      <c r="R73" s="7" t="s">
        <v>186</v>
      </c>
    </row>
    <row r="74" customFormat="false" ht="22.35" hidden="false" customHeight="false" outlineLevel="0" collapsed="false">
      <c r="A74" s="6" t="n">
        <v>73</v>
      </c>
      <c r="B74" s="7" t="s">
        <v>187</v>
      </c>
      <c r="C74" s="6" t="s">
        <v>28</v>
      </c>
      <c r="D74" s="6" t="n">
        <v>1</v>
      </c>
      <c r="E74" s="8" t="n">
        <v>45500</v>
      </c>
      <c r="F74" s="7" t="s">
        <v>188</v>
      </c>
      <c r="G74" s="9" t="n">
        <v>35000</v>
      </c>
      <c r="H74" s="9" t="n">
        <v>55000</v>
      </c>
      <c r="I74" s="10" t="n">
        <f aca="false">IF(E74=0,0,(E74-H74)/E74)</f>
        <v>-0.208791208791209</v>
      </c>
      <c r="J74" s="6" t="str">
        <f aca="false">IF(E74&lt;G74,"LOSS",IF(E74&lt;H74*1.1,"THIN / RISK",IF(E74&gt;H74*1.8,"OVERPRICED?","OK")))</f>
        <v>THIN / RISK</v>
      </c>
      <c r="K74" s="8" t="n">
        <f aca="false">IF(J74="OVERPRICED?",ROUND(H74*1.35,-1),MAX(E74,ROUND(H74*(1+$E$3),-1)))</f>
        <v>63250</v>
      </c>
      <c r="L74" s="8" t="n">
        <f aca="false">D74*E74</f>
        <v>45500</v>
      </c>
      <c r="M74" s="8" t="n">
        <f aca="false">D74*K74</f>
        <v>63250</v>
      </c>
      <c r="N74" s="8" t="n">
        <f aca="false">D74*H74</f>
        <v>55000</v>
      </c>
      <c r="O74" s="6" t="str">
        <f aca="false">IF(ISNUMBER(SEARCH(C74,F74)),"","YES")</f>
        <v>YES</v>
      </c>
      <c r="P74" s="6" t="s">
        <v>24</v>
      </c>
      <c r="Q74" s="7" t="s">
        <v>189</v>
      </c>
      <c r="R74" s="7" t="s">
        <v>190</v>
      </c>
    </row>
    <row r="75" customFormat="false" ht="22.35" hidden="false" customHeight="false" outlineLevel="0" collapsed="false">
      <c r="A75" s="6" t="n">
        <v>74</v>
      </c>
      <c r="B75" s="7" t="s">
        <v>191</v>
      </c>
      <c r="C75" s="6" t="s">
        <v>28</v>
      </c>
      <c r="D75" s="6" t="n">
        <v>2</v>
      </c>
      <c r="E75" s="8" t="n">
        <v>23400</v>
      </c>
      <c r="F75" s="7" t="s">
        <v>192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24</v>
      </c>
      <c r="Q75" s="7" t="s">
        <v>193</v>
      </c>
      <c r="R75" s="7" t="s">
        <v>194</v>
      </c>
    </row>
    <row r="76" customFormat="false" ht="32.8" hidden="false" customHeight="false" outlineLevel="0" collapsed="false">
      <c r="A76" s="6" t="n">
        <v>75</v>
      </c>
      <c r="B76" s="7" t="s">
        <v>195</v>
      </c>
      <c r="C76" s="6" t="s">
        <v>28</v>
      </c>
      <c r="D76" s="6" t="n">
        <v>2</v>
      </c>
      <c r="E76" s="8" t="n">
        <v>1950</v>
      </c>
      <c r="F76" s="7" t="s">
        <v>196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24</v>
      </c>
      <c r="Q76" s="7" t="s">
        <v>197</v>
      </c>
      <c r="R76" s="7" t="s">
        <v>31</v>
      </c>
    </row>
    <row r="77" customFormat="false" ht="32.8" hidden="false" customHeight="false" outlineLevel="0" collapsed="false">
      <c r="A77" s="6" t="n">
        <v>76</v>
      </c>
      <c r="B77" s="7" t="s">
        <v>198</v>
      </c>
      <c r="C77" s="6" t="s">
        <v>28</v>
      </c>
      <c r="D77" s="6" t="n">
        <v>2</v>
      </c>
      <c r="E77" s="8" t="n">
        <v>2080</v>
      </c>
      <c r="F77" s="7" t="s">
        <v>196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24</v>
      </c>
      <c r="Q77" s="7" t="s">
        <v>199</v>
      </c>
      <c r="R77" s="7" t="s">
        <v>31</v>
      </c>
    </row>
    <row r="78" customFormat="false" ht="32.8" hidden="false" customHeight="false" outlineLevel="0" collapsed="false">
      <c r="A78" s="6" t="n">
        <v>77</v>
      </c>
      <c r="B78" s="7" t="s">
        <v>200</v>
      </c>
      <c r="C78" s="6" t="s">
        <v>28</v>
      </c>
      <c r="D78" s="6" t="n">
        <v>2</v>
      </c>
      <c r="E78" s="8" t="n">
        <v>2210</v>
      </c>
      <c r="F78" s="7" t="s">
        <v>196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24</v>
      </c>
      <c r="Q78" s="7" t="s">
        <v>201</v>
      </c>
      <c r="R78" s="7" t="s">
        <v>31</v>
      </c>
    </row>
    <row r="79" customFormat="false" ht="32.8" hidden="false" customHeight="false" outlineLevel="0" collapsed="false">
      <c r="A79" s="6" t="n">
        <v>78</v>
      </c>
      <c r="B79" s="7" t="s">
        <v>202</v>
      </c>
      <c r="C79" s="6" t="s">
        <v>28</v>
      </c>
      <c r="D79" s="6" t="n">
        <v>2</v>
      </c>
      <c r="E79" s="8" t="n">
        <v>2340</v>
      </c>
      <c r="F79" s="7" t="s">
        <v>196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24</v>
      </c>
      <c r="Q79" s="7" t="s">
        <v>203</v>
      </c>
      <c r="R79" s="7" t="s">
        <v>31</v>
      </c>
    </row>
    <row r="80" customFormat="false" ht="32.8" hidden="false" customHeight="false" outlineLevel="0" collapsed="false">
      <c r="A80" s="6" t="n">
        <v>79</v>
      </c>
      <c r="B80" s="7" t="s">
        <v>204</v>
      </c>
      <c r="C80" s="6" t="s">
        <v>28</v>
      </c>
      <c r="D80" s="6" t="n">
        <v>2</v>
      </c>
      <c r="E80" s="8" t="n">
        <v>2470</v>
      </c>
      <c r="F80" s="7" t="s">
        <v>196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24</v>
      </c>
      <c r="Q80" s="7" t="s">
        <v>205</v>
      </c>
      <c r="R80" s="7" t="s">
        <v>31</v>
      </c>
    </row>
    <row r="81" customFormat="false" ht="32.8" hidden="false" customHeight="false" outlineLevel="0" collapsed="false">
      <c r="A81" s="6" t="n">
        <v>80</v>
      </c>
      <c r="B81" s="7" t="s">
        <v>206</v>
      </c>
      <c r="C81" s="6" t="s">
        <v>28</v>
      </c>
      <c r="D81" s="6" t="n">
        <v>2</v>
      </c>
      <c r="E81" s="8" t="n">
        <v>2600</v>
      </c>
      <c r="F81" s="7" t="s">
        <v>196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24</v>
      </c>
      <c r="Q81" s="7" t="s">
        <v>207</v>
      </c>
      <c r="R81" s="7" t="s">
        <v>31</v>
      </c>
    </row>
    <row r="82" customFormat="false" ht="32.8" hidden="false" customHeight="false" outlineLevel="0" collapsed="false">
      <c r="A82" s="6" t="n">
        <v>81</v>
      </c>
      <c r="B82" s="7" t="s">
        <v>208</v>
      </c>
      <c r="C82" s="6" t="s">
        <v>28</v>
      </c>
      <c r="D82" s="6" t="n">
        <v>2</v>
      </c>
      <c r="E82" s="8" t="n">
        <v>2730</v>
      </c>
      <c r="F82" s="7" t="s">
        <v>196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24</v>
      </c>
      <c r="Q82" s="7" t="s">
        <v>209</v>
      </c>
      <c r="R82" s="7" t="s">
        <v>31</v>
      </c>
    </row>
    <row r="83" customFormat="false" ht="32.8" hidden="false" customHeight="false" outlineLevel="0" collapsed="false">
      <c r="A83" s="6" t="n">
        <v>82</v>
      </c>
      <c r="B83" s="7" t="s">
        <v>210</v>
      </c>
      <c r="C83" s="6" t="s">
        <v>28</v>
      </c>
      <c r="D83" s="6" t="n">
        <v>2</v>
      </c>
      <c r="E83" s="8" t="n">
        <v>3250</v>
      </c>
      <c r="F83" s="7" t="s">
        <v>196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24</v>
      </c>
      <c r="Q83" s="7" t="s">
        <v>211</v>
      </c>
      <c r="R83" s="7" t="s">
        <v>31</v>
      </c>
    </row>
    <row r="84" customFormat="false" ht="32.8" hidden="false" customHeight="false" outlineLevel="0" collapsed="false">
      <c r="A84" s="6" t="n">
        <v>83</v>
      </c>
      <c r="B84" s="7" t="s">
        <v>212</v>
      </c>
      <c r="C84" s="6" t="s">
        <v>28</v>
      </c>
      <c r="D84" s="6" t="n">
        <v>1</v>
      </c>
      <c r="E84" s="8" t="n">
        <v>4160</v>
      </c>
      <c r="F84" s="7" t="s">
        <v>196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24</v>
      </c>
      <c r="Q84" s="7" t="s">
        <v>213</v>
      </c>
      <c r="R84" s="7" t="s">
        <v>31</v>
      </c>
    </row>
    <row r="85" customFormat="false" ht="32.8" hidden="false" customHeight="false" outlineLevel="0" collapsed="false">
      <c r="A85" s="6" t="n">
        <v>84</v>
      </c>
      <c r="B85" s="7" t="s">
        <v>214</v>
      </c>
      <c r="C85" s="6" t="s">
        <v>28</v>
      </c>
      <c r="D85" s="6" t="n">
        <v>1</v>
      </c>
      <c r="E85" s="8" t="n">
        <v>5850</v>
      </c>
      <c r="F85" s="7" t="s">
        <v>196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24</v>
      </c>
      <c r="Q85" s="7" t="s">
        <v>215</v>
      </c>
      <c r="R85" s="7" t="s">
        <v>31</v>
      </c>
    </row>
    <row r="86" customFormat="false" ht="32.8" hidden="false" customHeight="false" outlineLevel="0" collapsed="false">
      <c r="A86" s="6" t="n">
        <v>85</v>
      </c>
      <c r="B86" s="7" t="s">
        <v>216</v>
      </c>
      <c r="C86" s="6" t="s">
        <v>28</v>
      </c>
      <c r="D86" s="6" t="n">
        <v>1</v>
      </c>
      <c r="E86" s="8" t="n">
        <v>8450</v>
      </c>
      <c r="F86" s="7" t="s">
        <v>196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24</v>
      </c>
      <c r="Q86" s="7" t="s">
        <v>217</v>
      </c>
      <c r="R86" s="7" t="s">
        <v>31</v>
      </c>
    </row>
    <row r="87" customFormat="false" ht="32.8" hidden="false" customHeight="false" outlineLevel="0" collapsed="false">
      <c r="A87" s="6" t="n">
        <v>86</v>
      </c>
      <c r="B87" s="7" t="s">
        <v>218</v>
      </c>
      <c r="C87" s="6" t="s">
        <v>28</v>
      </c>
      <c r="D87" s="6" t="n">
        <v>1</v>
      </c>
      <c r="E87" s="8" t="n">
        <v>9750</v>
      </c>
      <c r="F87" s="7" t="s">
        <v>196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24</v>
      </c>
      <c r="Q87" s="7" t="s">
        <v>219</v>
      </c>
      <c r="R87" s="7" t="s">
        <v>31</v>
      </c>
    </row>
    <row r="88" customFormat="false" ht="32.8" hidden="false" customHeight="false" outlineLevel="0" collapsed="false">
      <c r="A88" s="6" t="n">
        <v>87</v>
      </c>
      <c r="B88" s="7" t="s">
        <v>220</v>
      </c>
      <c r="C88" s="6" t="s">
        <v>28</v>
      </c>
      <c r="D88" s="6" t="n">
        <v>1</v>
      </c>
      <c r="E88" s="8" t="n">
        <v>11700</v>
      </c>
      <c r="F88" s="7" t="s">
        <v>196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24</v>
      </c>
      <c r="Q88" s="7" t="s">
        <v>221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222</v>
      </c>
      <c r="C89" s="6" t="s">
        <v>28</v>
      </c>
      <c r="D89" s="6" t="n">
        <v>2</v>
      </c>
      <c r="E89" s="8" t="n">
        <v>4550</v>
      </c>
      <c r="F89" s="7" t="s">
        <v>180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156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222</v>
      </c>
      <c r="C90" s="6" t="s">
        <v>28</v>
      </c>
      <c r="D90" s="6" t="n">
        <v>2</v>
      </c>
      <c r="E90" s="8" t="n">
        <v>5850</v>
      </c>
      <c r="F90" s="7" t="s">
        <v>180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156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222</v>
      </c>
      <c r="C91" s="6" t="s">
        <v>28</v>
      </c>
      <c r="D91" s="6" t="n">
        <v>2</v>
      </c>
      <c r="E91" s="8" t="n">
        <v>7150</v>
      </c>
      <c r="F91" s="7" t="s">
        <v>180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156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223</v>
      </c>
      <c r="C92" s="6" t="s">
        <v>28</v>
      </c>
      <c r="D92" s="6" t="n">
        <v>2</v>
      </c>
      <c r="E92" s="8" t="n">
        <v>2340</v>
      </c>
      <c r="F92" s="7" t="s">
        <v>180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156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224</v>
      </c>
      <c r="C93" s="6" t="s">
        <v>28</v>
      </c>
      <c r="D93" s="6" t="n">
        <v>2</v>
      </c>
      <c r="E93" s="8" t="n">
        <v>2860</v>
      </c>
      <c r="F93" s="7" t="s">
        <v>180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156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225</v>
      </c>
      <c r="C94" s="6" t="s">
        <v>183</v>
      </c>
      <c r="D94" s="6" t="n">
        <v>2</v>
      </c>
      <c r="E94" s="8" t="n">
        <v>25350</v>
      </c>
      <c r="F94" s="7" t="s">
        <v>183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226</v>
      </c>
      <c r="R94" s="7"/>
    </row>
    <row r="95" customFormat="false" ht="15" hidden="false" customHeight="false" outlineLevel="0" collapsed="false">
      <c r="A95" s="6" t="n">
        <v>94</v>
      </c>
      <c r="B95" s="7" t="s">
        <v>227</v>
      </c>
      <c r="C95" s="6" t="s">
        <v>183</v>
      </c>
      <c r="D95" s="6" t="n">
        <v>3</v>
      </c>
      <c r="E95" s="8" t="n">
        <v>8138</v>
      </c>
      <c r="F95" s="7" t="s">
        <v>183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228</v>
      </c>
      <c r="R95" s="7"/>
    </row>
    <row r="96" customFormat="false" ht="15" hidden="false" customHeight="false" outlineLevel="0" collapsed="false">
      <c r="A96" s="6" t="n">
        <v>95</v>
      </c>
      <c r="B96" s="7" t="s">
        <v>229</v>
      </c>
      <c r="C96" s="6" t="s">
        <v>183</v>
      </c>
      <c r="D96" s="6" t="n">
        <v>3</v>
      </c>
      <c r="E96" s="8" t="n">
        <v>6370</v>
      </c>
      <c r="F96" s="7" t="s">
        <v>183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230</v>
      </c>
      <c r="R96" s="7"/>
    </row>
    <row r="97" customFormat="false" ht="22.35" hidden="false" customHeight="false" outlineLevel="0" collapsed="false">
      <c r="A97" s="6" t="n">
        <v>96</v>
      </c>
      <c r="B97" s="7" t="s">
        <v>231</v>
      </c>
      <c r="C97" s="6" t="s">
        <v>28</v>
      </c>
      <c r="D97" s="6" t="n">
        <v>2</v>
      </c>
      <c r="E97" s="8" t="n">
        <v>14950</v>
      </c>
      <c r="F97" s="7" t="s">
        <v>183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156</v>
      </c>
      <c r="R97" s="7" t="s">
        <v>232</v>
      </c>
    </row>
    <row r="98" customFormat="false" ht="22.35" hidden="false" customHeight="false" outlineLevel="0" collapsed="false">
      <c r="A98" s="6" t="n">
        <v>97</v>
      </c>
      <c r="B98" s="7" t="s">
        <v>233</v>
      </c>
      <c r="C98" s="6" t="s">
        <v>120</v>
      </c>
      <c r="D98" s="6" t="n">
        <v>2</v>
      </c>
      <c r="E98" s="8" t="n">
        <v>286000</v>
      </c>
      <c r="F98" s="7" t="s">
        <v>120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51</v>
      </c>
      <c r="Q98" s="7" t="s">
        <v>234</v>
      </c>
      <c r="R98" s="7" t="s">
        <v>53</v>
      </c>
    </row>
    <row r="99" customFormat="false" ht="15" hidden="false" customHeight="false" outlineLevel="0" collapsed="false">
      <c r="A99" s="6" t="n">
        <v>98</v>
      </c>
      <c r="B99" s="7" t="s">
        <v>235</v>
      </c>
      <c r="C99" s="6" t="s">
        <v>236</v>
      </c>
      <c r="D99" s="6" t="n">
        <v>1</v>
      </c>
      <c r="E99" s="8" t="n">
        <v>15600</v>
      </c>
      <c r="F99" s="7" t="s">
        <v>236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156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237</v>
      </c>
      <c r="C100" s="6" t="s">
        <v>28</v>
      </c>
      <c r="D100" s="6" t="n">
        <v>1</v>
      </c>
      <c r="E100" s="8" t="n">
        <v>11050</v>
      </c>
      <c r="F100" s="7" t="s">
        <v>238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156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239</v>
      </c>
      <c r="C101" s="6" t="s">
        <v>28</v>
      </c>
      <c r="D101" s="6" t="n">
        <v>1</v>
      </c>
      <c r="E101" s="8" t="n">
        <v>9100</v>
      </c>
      <c r="F101" s="7" t="s">
        <v>238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156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240</v>
      </c>
      <c r="C102" s="6" t="s">
        <v>28</v>
      </c>
      <c r="D102" s="6" t="n">
        <v>3</v>
      </c>
      <c r="E102" s="8" t="n">
        <v>7150</v>
      </c>
      <c r="F102" s="7" t="s">
        <v>238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156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241</v>
      </c>
      <c r="C103" s="6" t="s">
        <v>28</v>
      </c>
      <c r="D103" s="6" t="n">
        <v>3</v>
      </c>
      <c r="E103" s="8" t="n">
        <v>5850</v>
      </c>
      <c r="F103" s="7" t="s">
        <v>238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156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242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156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243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156</v>
      </c>
      <c r="R105" s="7" t="s">
        <v>244</v>
      </c>
    </row>
    <row r="106" customFormat="false" ht="22.35" hidden="false" customHeight="false" outlineLevel="0" collapsed="false">
      <c r="A106" s="6" t="n">
        <v>105</v>
      </c>
      <c r="B106" s="7" t="s">
        <v>245</v>
      </c>
      <c r="C106" s="6" t="s">
        <v>22</v>
      </c>
      <c r="D106" s="6" t="n">
        <v>12</v>
      </c>
      <c r="E106" s="8" t="n">
        <v>1170</v>
      </c>
      <c r="F106" s="7" t="s">
        <v>246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247</v>
      </c>
      <c r="R106" s="7"/>
    </row>
    <row r="107" customFormat="false" ht="22.35" hidden="false" customHeight="false" outlineLevel="0" collapsed="false">
      <c r="A107" s="6" t="n">
        <v>106</v>
      </c>
      <c r="B107" s="7" t="s">
        <v>248</v>
      </c>
      <c r="C107" s="6" t="s">
        <v>28</v>
      </c>
      <c r="D107" s="6" t="n">
        <v>6</v>
      </c>
      <c r="E107" s="8" t="n">
        <v>3640</v>
      </c>
      <c r="F107" s="7" t="s">
        <v>131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156</v>
      </c>
      <c r="R107" s="7" t="s">
        <v>249</v>
      </c>
    </row>
    <row r="108" customFormat="false" ht="32.8" hidden="false" customHeight="false" outlineLevel="0" collapsed="false">
      <c r="A108" s="6" t="n">
        <v>107</v>
      </c>
      <c r="B108" s="7" t="s">
        <v>250</v>
      </c>
      <c r="C108" s="6" t="s">
        <v>28</v>
      </c>
      <c r="D108" s="6" t="n">
        <v>6</v>
      </c>
      <c r="E108" s="8" t="n">
        <v>6760</v>
      </c>
      <c r="F108" s="7" t="s">
        <v>131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156</v>
      </c>
      <c r="R108" s="7" t="s">
        <v>251</v>
      </c>
    </row>
    <row r="109" customFormat="false" ht="32.8" hidden="false" customHeight="false" outlineLevel="0" collapsed="false">
      <c r="A109" s="6" t="n">
        <v>108</v>
      </c>
      <c r="B109" s="7" t="s">
        <v>252</v>
      </c>
      <c r="C109" s="6" t="s">
        <v>28</v>
      </c>
      <c r="D109" s="6" t="n">
        <v>3</v>
      </c>
      <c r="E109" s="8" t="n">
        <v>4550</v>
      </c>
      <c r="F109" s="7" t="s">
        <v>131</v>
      </c>
      <c r="G109" s="9" t="n">
        <v>3800</v>
      </c>
      <c r="H109" s="9" t="n">
        <v>4200</v>
      </c>
      <c r="I109" s="10" t="n">
        <f aca="false">IF(E109=0,0,(E109-H109)/E109)</f>
        <v>0.0769230769230769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4830</v>
      </c>
      <c r="L109" s="8" t="n">
        <f aca="false">D109*E109</f>
        <v>13650</v>
      </c>
      <c r="M109" s="8" t="n">
        <f aca="false">D109*K109</f>
        <v>14490</v>
      </c>
      <c r="N109" s="8" t="n">
        <f aca="false">D109*H109</f>
        <v>12600</v>
      </c>
      <c r="O109" s="6" t="str">
        <f aca="false">IF(ISNUMBER(SEARCH(C109,F109)),"","YES")</f>
        <v>YES</v>
      </c>
      <c r="P109" s="6" t="s">
        <v>24</v>
      </c>
      <c r="Q109" s="7" t="s">
        <v>253</v>
      </c>
      <c r="R109" s="7" t="s">
        <v>254</v>
      </c>
    </row>
    <row r="110" customFormat="false" ht="22.35" hidden="false" customHeight="false" outlineLevel="0" collapsed="false">
      <c r="A110" s="6" t="n">
        <v>109</v>
      </c>
      <c r="B110" s="7" t="s">
        <v>255</v>
      </c>
      <c r="C110" s="6" t="s">
        <v>28</v>
      </c>
      <c r="D110" s="6" t="n">
        <v>6</v>
      </c>
      <c r="E110" s="8" t="n">
        <v>2340</v>
      </c>
      <c r="F110" s="7" t="s">
        <v>131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156</v>
      </c>
      <c r="R110" s="7" t="s">
        <v>256</v>
      </c>
    </row>
    <row r="111" customFormat="false" ht="22.35" hidden="false" customHeight="false" outlineLevel="0" collapsed="false">
      <c r="A111" s="6" t="n">
        <v>110</v>
      </c>
      <c r="B111" s="7" t="s">
        <v>257</v>
      </c>
      <c r="C111" s="6" t="s">
        <v>28</v>
      </c>
      <c r="D111" s="6" t="n">
        <v>3</v>
      </c>
      <c r="E111" s="8" t="n">
        <v>1820</v>
      </c>
      <c r="F111" s="7" t="s">
        <v>183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156</v>
      </c>
      <c r="R111" s="7" t="s">
        <v>258</v>
      </c>
    </row>
    <row r="112" customFormat="false" ht="32.8" hidden="false" customHeight="false" outlineLevel="0" collapsed="false">
      <c r="A112" s="6" t="n">
        <v>111</v>
      </c>
      <c r="B112" s="7" t="s">
        <v>259</v>
      </c>
      <c r="C112" s="6" t="s">
        <v>28</v>
      </c>
      <c r="D112" s="6" t="n">
        <v>3</v>
      </c>
      <c r="E112" s="8" t="n">
        <v>2860</v>
      </c>
      <c r="F112" s="7" t="s">
        <v>183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260</v>
      </c>
      <c r="R112" s="7" t="s">
        <v>261</v>
      </c>
    </row>
    <row r="113" customFormat="false" ht="22.35" hidden="false" customHeight="false" outlineLevel="0" collapsed="false">
      <c r="A113" s="6" t="n">
        <v>112</v>
      </c>
      <c r="B113" s="7" t="s">
        <v>262</v>
      </c>
      <c r="C113" s="6" t="s">
        <v>28</v>
      </c>
      <c r="D113" s="6" t="n">
        <v>2</v>
      </c>
      <c r="E113" s="8" t="n">
        <v>12350</v>
      </c>
      <c r="F113" s="7" t="s">
        <v>263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156</v>
      </c>
      <c r="R113" s="7" t="s">
        <v>264</v>
      </c>
    </row>
    <row r="114" customFormat="false" ht="15" hidden="false" customHeight="false" outlineLevel="0" collapsed="false">
      <c r="A114" s="6" t="n">
        <v>113</v>
      </c>
      <c r="B114" s="7" t="s">
        <v>265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156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266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156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267</v>
      </c>
      <c r="C116" s="6" t="s">
        <v>22</v>
      </c>
      <c r="D116" s="6" t="n">
        <v>2</v>
      </c>
      <c r="E116" s="8" t="n">
        <v>11050</v>
      </c>
      <c r="F116" s="7" t="s">
        <v>268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269</v>
      </c>
      <c r="R116" s="7"/>
    </row>
    <row r="117" customFormat="false" ht="22.35" hidden="false" customHeight="false" outlineLevel="0" collapsed="false">
      <c r="A117" s="6" t="n">
        <v>116</v>
      </c>
      <c r="B117" s="7" t="s">
        <v>270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156</v>
      </c>
      <c r="R117" s="7" t="s">
        <v>271</v>
      </c>
    </row>
    <row r="118" customFormat="false" ht="15" hidden="false" customHeight="false" outlineLevel="0" collapsed="false">
      <c r="A118" s="6" t="n">
        <v>117</v>
      </c>
      <c r="B118" s="7" t="s">
        <v>272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273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274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273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275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156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276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156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277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278</v>
      </c>
      <c r="R122" s="7"/>
    </row>
    <row r="123" customFormat="false" ht="32.8" hidden="false" customHeight="false" outlineLevel="0" collapsed="false">
      <c r="A123" s="6" t="n">
        <v>122</v>
      </c>
      <c r="B123" s="7" t="s">
        <v>279</v>
      </c>
      <c r="C123" s="6" t="s">
        <v>22</v>
      </c>
      <c r="D123" s="6" t="n">
        <v>1</v>
      </c>
      <c r="E123" s="8" t="n">
        <v>357500</v>
      </c>
      <c r="F123" s="7" t="s">
        <v>280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281</v>
      </c>
      <c r="R123" s="7" t="s">
        <v>282</v>
      </c>
    </row>
    <row r="124" customFormat="false" ht="22.35" hidden="false" customHeight="false" outlineLevel="0" collapsed="false">
      <c r="A124" s="6" t="n">
        <v>123</v>
      </c>
      <c r="B124" s="7" t="s">
        <v>283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156</v>
      </c>
      <c r="R124" s="7" t="s">
        <v>284</v>
      </c>
    </row>
    <row r="125" customFormat="false" ht="15" hidden="false" customHeight="false" outlineLevel="0" collapsed="false">
      <c r="A125" s="6" t="n">
        <v>124</v>
      </c>
      <c r="B125" s="7" t="s">
        <v>285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156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286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156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287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156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288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156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289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156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290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156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291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292</v>
      </c>
      <c r="R131" s="7" t="s">
        <v>293</v>
      </c>
    </row>
    <row r="132" customFormat="false" ht="15" hidden="false" customHeight="false" outlineLevel="0" collapsed="false">
      <c r="A132" s="6" t="n">
        <v>131</v>
      </c>
      <c r="B132" s="7" t="s">
        <v>294</v>
      </c>
      <c r="C132" s="6" t="s">
        <v>22</v>
      </c>
      <c r="D132" s="6" t="n">
        <v>2</v>
      </c>
      <c r="E132" s="8" t="n">
        <v>7800</v>
      </c>
      <c r="F132" s="7" t="s">
        <v>295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296</v>
      </c>
      <c r="R132" s="7"/>
    </row>
    <row r="133" customFormat="false" ht="15" hidden="false" customHeight="false" outlineLevel="0" collapsed="false">
      <c r="A133" s="6" t="n">
        <v>132</v>
      </c>
      <c r="B133" s="7" t="s">
        <v>297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273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298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156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299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156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300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301</v>
      </c>
      <c r="R136" s="7"/>
    </row>
    <row r="137" customFormat="false" ht="22.35" hidden="false" customHeight="false" outlineLevel="0" collapsed="false">
      <c r="A137" s="6" t="n">
        <v>136</v>
      </c>
      <c r="B137" s="7" t="s">
        <v>302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303</v>
      </c>
      <c r="R137" s="7"/>
    </row>
    <row r="138" customFormat="false" ht="22.35" hidden="false" customHeight="false" outlineLevel="0" collapsed="false">
      <c r="A138" s="6" t="n">
        <v>138</v>
      </c>
      <c r="B138" s="7" t="s">
        <v>304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305</v>
      </c>
      <c r="R138" s="7"/>
    </row>
    <row r="139" customFormat="false" ht="15" hidden="false" customHeight="false" outlineLevel="0" collapsed="false">
      <c r="A139" s="6" t="n">
        <v>139</v>
      </c>
      <c r="B139" s="7" t="s">
        <v>306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156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307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156</v>
      </c>
      <c r="R140" s="7" t="s">
        <v>308</v>
      </c>
    </row>
    <row r="141" customFormat="false" ht="15" hidden="false" customHeight="false" outlineLevel="0" collapsed="false">
      <c r="A141" s="6" t="n">
        <v>142</v>
      </c>
      <c r="B141" s="7" t="s">
        <v>309</v>
      </c>
      <c r="C141" s="6" t="s">
        <v>22</v>
      </c>
      <c r="D141" s="6" t="n">
        <v>3</v>
      </c>
      <c r="E141" s="8" t="n">
        <v>7150</v>
      </c>
      <c r="F141" s="7" t="s">
        <v>310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156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311</v>
      </c>
      <c r="C142" s="6" t="s">
        <v>22</v>
      </c>
      <c r="D142" s="6" t="n">
        <v>3</v>
      </c>
      <c r="E142" s="8" t="n">
        <v>7150</v>
      </c>
      <c r="F142" s="7" t="s">
        <v>310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156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312</v>
      </c>
      <c r="C143" s="6" t="s">
        <v>22</v>
      </c>
      <c r="D143" s="6" t="n">
        <v>3</v>
      </c>
      <c r="E143" s="8" t="n">
        <v>8450</v>
      </c>
      <c r="F143" s="7" t="s">
        <v>310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156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313</v>
      </c>
      <c r="C144" s="6" t="s">
        <v>28</v>
      </c>
      <c r="D144" s="6" t="n">
        <v>500</v>
      </c>
      <c r="E144" s="8" t="n">
        <v>104</v>
      </c>
      <c r="F144" s="7" t="s">
        <v>314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273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315</v>
      </c>
      <c r="C145" s="6" t="s">
        <v>22</v>
      </c>
      <c r="D145" s="6" t="n">
        <v>1</v>
      </c>
      <c r="E145" s="8" t="n">
        <v>105788</v>
      </c>
      <c r="F145" s="7" t="s">
        <v>316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317</v>
      </c>
      <c r="R145" s="7"/>
    </row>
    <row r="146" customFormat="false" ht="15" hidden="false" customHeight="false" outlineLevel="0" collapsed="false">
      <c r="A146" s="6" t="n">
        <v>147</v>
      </c>
      <c r="B146" s="7" t="s">
        <v>318</v>
      </c>
      <c r="C146" s="6" t="s">
        <v>22</v>
      </c>
      <c r="D146" s="6" t="n">
        <v>1</v>
      </c>
      <c r="E146" s="8" t="n">
        <v>245700</v>
      </c>
      <c r="F146" s="7" t="s">
        <v>316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319</v>
      </c>
      <c r="R146" s="7"/>
    </row>
    <row r="147" customFormat="false" ht="32.8" hidden="false" customHeight="false" outlineLevel="0" collapsed="false">
      <c r="A147" s="6" t="n">
        <v>148</v>
      </c>
      <c r="B147" s="7" t="s">
        <v>320</v>
      </c>
      <c r="C147" s="6" t="s">
        <v>28</v>
      </c>
      <c r="D147" s="6" t="n">
        <v>12</v>
      </c>
      <c r="E147" s="8" t="n">
        <v>650</v>
      </c>
      <c r="F147" s="7" t="s">
        <v>28</v>
      </c>
      <c r="G147" s="9" t="n">
        <v>800</v>
      </c>
      <c r="H147" s="9" t="n">
        <v>1200</v>
      </c>
      <c r="I147" s="10" t="n">
        <f aca="false">IF(E147=0,0,(E147-H147)/E147)</f>
        <v>-0.846153846153846</v>
      </c>
      <c r="J147" s="6" t="str">
        <f aca="false">IF(E147&lt;G147,"LOSS",IF(E147&lt;H147*1.1,"THIN / RISK",IF(E147&gt;H147*1.8,"OVERPRICED?","OK")))</f>
        <v>LOSS</v>
      </c>
      <c r="K147" s="8" t="n">
        <f aca="false">IF(J147="OVERPRICED?",ROUND(H147*1.35,-1),MAX(E147,ROUND(H147*(1+$E$3),-1)))</f>
        <v>1380</v>
      </c>
      <c r="L147" s="8" t="n">
        <f aca="false">D147*E147</f>
        <v>7800</v>
      </c>
      <c r="M147" s="8" t="n">
        <f aca="false">D147*K147</f>
        <v>16560</v>
      </c>
      <c r="N147" s="8" t="n">
        <f aca="false">D147*H147</f>
        <v>14400</v>
      </c>
      <c r="O147" s="6" t="str">
        <f aca="false">IF(ISNUMBER(SEARCH(C147,F147)),"","YES")</f>
        <v/>
      </c>
      <c r="P147" s="6" t="s">
        <v>24</v>
      </c>
      <c r="Q147" s="7" t="s">
        <v>321</v>
      </c>
      <c r="R147" s="7" t="s">
        <v>322</v>
      </c>
    </row>
    <row r="148" customFormat="false" ht="15" hidden="false" customHeight="false" outlineLevel="0" collapsed="false">
      <c r="A148" s="6" t="n">
        <v>149</v>
      </c>
      <c r="B148" s="7" t="s">
        <v>323</v>
      </c>
      <c r="C148" s="6" t="s">
        <v>22</v>
      </c>
      <c r="D148" s="6" t="n">
        <v>100</v>
      </c>
      <c r="E148" s="8" t="n">
        <v>1754</v>
      </c>
      <c r="F148" s="7" t="s">
        <v>324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325</v>
      </c>
      <c r="R148" s="7"/>
    </row>
    <row r="149" customFormat="false" ht="22.35" hidden="false" customHeight="false" outlineLevel="0" collapsed="false">
      <c r="A149" s="6" t="n">
        <v>150</v>
      </c>
      <c r="B149" s="7" t="s">
        <v>326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327</v>
      </c>
      <c r="R149" s="7"/>
    </row>
    <row r="150" customFormat="false" ht="22.35" hidden="false" customHeight="false" outlineLevel="0" collapsed="false">
      <c r="A150" s="6" t="n">
        <v>151</v>
      </c>
      <c r="B150" s="7" t="s">
        <v>328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329</v>
      </c>
      <c r="R150" s="7"/>
    </row>
    <row r="151" customFormat="false" ht="22.35" hidden="false" customHeight="false" outlineLevel="0" collapsed="false">
      <c r="A151" s="6" t="n">
        <v>152</v>
      </c>
      <c r="B151" s="7" t="s">
        <v>330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331</v>
      </c>
      <c r="R151" s="7"/>
    </row>
    <row r="152" customFormat="false" ht="15" hidden="false" customHeight="false" outlineLevel="0" collapsed="false">
      <c r="A152" s="6" t="n">
        <v>153</v>
      </c>
      <c r="B152" s="7" t="s">
        <v>332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333</v>
      </c>
      <c r="R152" s="7"/>
    </row>
    <row r="153" customFormat="false" ht="15" hidden="false" customHeight="false" outlineLevel="0" collapsed="false">
      <c r="A153" s="6" t="n">
        <v>154</v>
      </c>
      <c r="B153" s="7" t="s">
        <v>334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156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335</v>
      </c>
      <c r="C154" s="6" t="s">
        <v>22</v>
      </c>
      <c r="D154" s="6" t="n">
        <v>50</v>
      </c>
      <c r="E154" s="8" t="n">
        <v>748</v>
      </c>
      <c r="F154" s="7" t="s">
        <v>336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337</v>
      </c>
      <c r="R154" s="7"/>
    </row>
    <row r="155" customFormat="false" ht="15" hidden="false" customHeight="false" outlineLevel="0" collapsed="false">
      <c r="A155" s="6" t="n">
        <v>156</v>
      </c>
      <c r="B155" s="7" t="s">
        <v>338</v>
      </c>
      <c r="C155" s="6" t="s">
        <v>22</v>
      </c>
      <c r="D155" s="6" t="n">
        <v>30</v>
      </c>
      <c r="E155" s="8" t="n">
        <v>748</v>
      </c>
      <c r="F155" s="7" t="s">
        <v>336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339</v>
      </c>
      <c r="R155" s="7"/>
    </row>
    <row r="156" customFormat="false" ht="22.35" hidden="false" customHeight="false" outlineLevel="0" collapsed="false">
      <c r="A156" s="6" t="n">
        <v>157</v>
      </c>
      <c r="B156" s="7" t="s">
        <v>340</v>
      </c>
      <c r="C156" s="6" t="s">
        <v>22</v>
      </c>
      <c r="D156" s="6" t="n">
        <v>30</v>
      </c>
      <c r="E156" s="8" t="n">
        <v>748</v>
      </c>
      <c r="F156" s="7" t="s">
        <v>341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342</v>
      </c>
      <c r="R156" s="7"/>
    </row>
    <row r="157" customFormat="false" ht="15" hidden="false" customHeight="false" outlineLevel="0" collapsed="false">
      <c r="A157" s="6" t="n">
        <v>158</v>
      </c>
      <c r="B157" s="7" t="s">
        <v>343</v>
      </c>
      <c r="C157" s="6" t="s">
        <v>28</v>
      </c>
      <c r="D157" s="6" t="n">
        <v>12</v>
      </c>
      <c r="E157" s="8" t="n">
        <v>311</v>
      </c>
      <c r="F157" s="7" t="s">
        <v>314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156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344</v>
      </c>
      <c r="C158" s="6" t="s">
        <v>28</v>
      </c>
      <c r="D158" s="6" t="n">
        <v>100</v>
      </c>
      <c r="E158" s="8" t="n">
        <v>325</v>
      </c>
      <c r="F158" s="7" t="s">
        <v>314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345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346</v>
      </c>
      <c r="C159" s="6" t="s">
        <v>28</v>
      </c>
      <c r="D159" s="6" t="n">
        <v>150</v>
      </c>
      <c r="E159" s="8" t="n">
        <v>117</v>
      </c>
      <c r="F159" s="7" t="s">
        <v>347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156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348</v>
      </c>
      <c r="C160" s="6" t="s">
        <v>28</v>
      </c>
      <c r="D160" s="6" t="n">
        <v>150</v>
      </c>
      <c r="E160" s="8" t="n">
        <v>169</v>
      </c>
      <c r="F160" s="7" t="s">
        <v>347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156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349</v>
      </c>
      <c r="C161" s="6" t="s">
        <v>28</v>
      </c>
      <c r="D161" s="6" t="n">
        <v>150</v>
      </c>
      <c r="E161" s="8" t="n">
        <v>234</v>
      </c>
      <c r="F161" s="7" t="s">
        <v>347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156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350</v>
      </c>
      <c r="C162" s="6" t="s">
        <v>22</v>
      </c>
      <c r="D162" s="6" t="n">
        <v>40</v>
      </c>
      <c r="E162" s="8" t="n">
        <v>1209</v>
      </c>
      <c r="F162" s="7" t="s">
        <v>351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51</v>
      </c>
      <c r="Q162" s="7" t="s">
        <v>352</v>
      </c>
      <c r="R162" s="7" t="s">
        <v>53</v>
      </c>
    </row>
    <row r="163" customFormat="false" ht="32.8" hidden="false" customHeight="false" outlineLevel="0" collapsed="false">
      <c r="A163" s="6" t="n">
        <v>165</v>
      </c>
      <c r="B163" s="7" t="s">
        <v>353</v>
      </c>
      <c r="C163" s="6" t="s">
        <v>22</v>
      </c>
      <c r="D163" s="6" t="n">
        <v>40</v>
      </c>
      <c r="E163" s="8" t="n">
        <v>1209</v>
      </c>
      <c r="F163" s="7" t="s">
        <v>351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51</v>
      </c>
      <c r="Q163" s="7" t="s">
        <v>354</v>
      </c>
      <c r="R163" s="7" t="s">
        <v>53</v>
      </c>
    </row>
    <row r="164" customFormat="false" ht="22.35" hidden="false" customHeight="false" outlineLevel="0" collapsed="false">
      <c r="A164" s="6" t="n">
        <v>166</v>
      </c>
      <c r="B164" s="7" t="s">
        <v>355</v>
      </c>
      <c r="C164" s="6" t="s">
        <v>22</v>
      </c>
      <c r="D164" s="6" t="n">
        <v>20</v>
      </c>
      <c r="E164" s="8" t="n">
        <v>3022</v>
      </c>
      <c r="F164" s="7" t="s">
        <v>356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51</v>
      </c>
      <c r="Q164" s="7" t="s">
        <v>357</v>
      </c>
      <c r="R164" s="7" t="s">
        <v>53</v>
      </c>
    </row>
    <row r="165" customFormat="false" ht="22.35" hidden="false" customHeight="false" outlineLevel="0" collapsed="false">
      <c r="A165" s="6" t="n">
        <v>167</v>
      </c>
      <c r="B165" s="7" t="s">
        <v>358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359</v>
      </c>
      <c r="R165" s="7" t="s">
        <v>360</v>
      </c>
    </row>
    <row r="166" customFormat="false" ht="22.35" hidden="false" customHeight="false" outlineLevel="0" collapsed="false">
      <c r="A166" s="6" t="n">
        <v>168</v>
      </c>
      <c r="B166" s="7" t="s">
        <v>361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359</v>
      </c>
      <c r="R166" s="7" t="s">
        <v>362</v>
      </c>
    </row>
    <row r="167" customFormat="false" ht="22.35" hidden="false" customHeight="false" outlineLevel="0" collapsed="false">
      <c r="A167" s="6" t="n">
        <v>177</v>
      </c>
      <c r="B167" s="7" t="s">
        <v>363</v>
      </c>
      <c r="C167" s="6" t="s">
        <v>28</v>
      </c>
      <c r="D167" s="6" t="n">
        <v>3</v>
      </c>
      <c r="E167" s="8" t="n">
        <v>5850</v>
      </c>
      <c r="F167" s="7" t="s">
        <v>364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156</v>
      </c>
      <c r="R167" s="7" t="s">
        <v>365</v>
      </c>
    </row>
    <row r="168" customFormat="false" ht="15" hidden="false" customHeight="false" outlineLevel="0" collapsed="false">
      <c r="A168" s="6" t="n">
        <v>179</v>
      </c>
      <c r="B168" s="7" t="s">
        <v>366</v>
      </c>
      <c r="C168" s="6" t="s">
        <v>28</v>
      </c>
      <c r="D168" s="6" t="n">
        <v>1</v>
      </c>
      <c r="E168" s="8" t="n">
        <v>23400</v>
      </c>
      <c r="F168" s="7" t="s">
        <v>238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156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367</v>
      </c>
      <c r="C169" s="6" t="s">
        <v>28</v>
      </c>
      <c r="D169" s="6" t="n">
        <v>1</v>
      </c>
      <c r="E169" s="8" t="n">
        <v>15600</v>
      </c>
      <c r="F169" s="7" t="s">
        <v>238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156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368</v>
      </c>
      <c r="C170" s="6" t="s">
        <v>28</v>
      </c>
      <c r="D170" s="6" t="n">
        <v>1</v>
      </c>
      <c r="E170" s="8" t="n">
        <v>33800</v>
      </c>
      <c r="F170" s="7" t="s">
        <v>238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156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369</v>
      </c>
      <c r="C171" s="6" t="s">
        <v>28</v>
      </c>
      <c r="D171" s="6" t="n">
        <v>1</v>
      </c>
      <c r="E171" s="8" t="n">
        <v>23400</v>
      </c>
      <c r="F171" s="7" t="s">
        <v>238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156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370</v>
      </c>
      <c r="C172" s="6" t="s">
        <v>28</v>
      </c>
      <c r="D172" s="6" t="n">
        <v>3</v>
      </c>
      <c r="E172" s="8" t="n">
        <v>2860</v>
      </c>
      <c r="F172" s="7" t="s">
        <v>131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156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371</v>
      </c>
      <c r="C173" s="6" t="s">
        <v>28</v>
      </c>
      <c r="D173" s="6" t="n">
        <v>3</v>
      </c>
      <c r="E173" s="8" t="n">
        <v>3250</v>
      </c>
      <c r="F173" s="7" t="s">
        <v>131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156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372</v>
      </c>
      <c r="C174" s="6" t="s">
        <v>28</v>
      </c>
      <c r="D174" s="6" t="n">
        <v>3</v>
      </c>
      <c r="E174" s="8" t="n">
        <v>3900</v>
      </c>
      <c r="F174" s="7" t="s">
        <v>131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156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373</v>
      </c>
      <c r="C175" s="6" t="s">
        <v>28</v>
      </c>
      <c r="D175" s="6" t="n">
        <v>3</v>
      </c>
      <c r="E175" s="8" t="n">
        <v>4550</v>
      </c>
      <c r="F175" s="7" t="s">
        <v>131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156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374</v>
      </c>
      <c r="C176" s="6" t="s">
        <v>28</v>
      </c>
      <c r="D176" s="6" t="n">
        <v>2</v>
      </c>
      <c r="E176" s="8" t="n">
        <v>7150</v>
      </c>
      <c r="F176" s="7" t="s">
        <v>131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156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375</v>
      </c>
      <c r="C177" s="6" t="s">
        <v>28</v>
      </c>
      <c r="D177" s="6" t="n">
        <v>1</v>
      </c>
      <c r="E177" s="8" t="n">
        <v>8450</v>
      </c>
      <c r="F177" s="7" t="s">
        <v>131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156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376</v>
      </c>
      <c r="C178" s="6" t="s">
        <v>28</v>
      </c>
      <c r="D178" s="6" t="n">
        <v>1</v>
      </c>
      <c r="E178" s="8" t="n">
        <v>9750</v>
      </c>
      <c r="F178" s="7" t="s">
        <v>131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156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377</v>
      </c>
      <c r="C179" s="6" t="s">
        <v>28</v>
      </c>
      <c r="D179" s="6" t="n">
        <v>2</v>
      </c>
      <c r="E179" s="8" t="n">
        <v>2340</v>
      </c>
      <c r="F179" s="7" t="s">
        <v>131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156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377</v>
      </c>
      <c r="C180" s="6" t="s">
        <v>28</v>
      </c>
      <c r="D180" s="6" t="n">
        <v>2</v>
      </c>
      <c r="E180" s="8" t="n">
        <v>3640</v>
      </c>
      <c r="F180" s="7" t="s">
        <v>131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156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378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156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379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156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380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156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381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156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382</v>
      </c>
      <c r="C185" s="6" t="s">
        <v>28</v>
      </c>
      <c r="D185" s="6" t="n">
        <v>2</v>
      </c>
      <c r="E185" s="8" t="n">
        <v>4550</v>
      </c>
      <c r="F185" s="7" t="s">
        <v>131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156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383</v>
      </c>
      <c r="C186" s="6" t="s">
        <v>28</v>
      </c>
      <c r="D186" s="6" t="n">
        <v>1</v>
      </c>
      <c r="E186" s="8" t="n">
        <v>17940</v>
      </c>
      <c r="F186" s="7" t="s">
        <v>183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384</v>
      </c>
      <c r="R186" s="7"/>
    </row>
    <row r="187" customFormat="false" ht="22.35" hidden="false" customHeight="false" outlineLevel="0" collapsed="false">
      <c r="A187" s="6" t="n">
        <v>198</v>
      </c>
      <c r="B187" s="7" t="s">
        <v>385</v>
      </c>
      <c r="C187" s="6" t="s">
        <v>28</v>
      </c>
      <c r="D187" s="6" t="n">
        <v>1</v>
      </c>
      <c r="E187" s="8" t="n">
        <v>18850</v>
      </c>
      <c r="F187" s="7" t="s">
        <v>183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386</v>
      </c>
      <c r="R187" s="7"/>
    </row>
    <row r="188" customFormat="false" ht="15" hidden="false" customHeight="false" outlineLevel="0" collapsed="false">
      <c r="A188" s="6" t="n">
        <v>199</v>
      </c>
      <c r="B188" s="7" t="s">
        <v>387</v>
      </c>
      <c r="C188" s="6" t="s">
        <v>28</v>
      </c>
      <c r="D188" s="6" t="n">
        <v>1</v>
      </c>
      <c r="E188" s="8" t="n">
        <v>19500</v>
      </c>
      <c r="F188" s="7" t="s">
        <v>183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388</v>
      </c>
      <c r="R188" s="7"/>
    </row>
    <row r="189" customFormat="false" ht="15" hidden="false" customHeight="false" outlineLevel="0" collapsed="false">
      <c r="A189" s="6" t="n">
        <v>200</v>
      </c>
      <c r="B189" s="7" t="s">
        <v>389</v>
      </c>
      <c r="C189" s="6" t="s">
        <v>28</v>
      </c>
      <c r="D189" s="6" t="n">
        <v>1</v>
      </c>
      <c r="E189" s="8" t="n">
        <v>20800</v>
      </c>
      <c r="F189" s="7" t="s">
        <v>183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390</v>
      </c>
      <c r="R189" s="7"/>
    </row>
    <row r="190" customFormat="false" ht="15" hidden="false" customHeight="false" outlineLevel="0" collapsed="false">
      <c r="A190" s="6" t="n">
        <v>201</v>
      </c>
      <c r="B190" s="7" t="s">
        <v>391</v>
      </c>
      <c r="C190" s="6" t="s">
        <v>28</v>
      </c>
      <c r="D190" s="6" t="n">
        <v>1</v>
      </c>
      <c r="E190" s="8" t="n">
        <v>22750</v>
      </c>
      <c r="F190" s="7" t="s">
        <v>183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392</v>
      </c>
      <c r="R190" s="7"/>
    </row>
    <row r="191" customFormat="false" ht="15" hidden="false" customHeight="false" outlineLevel="0" collapsed="false">
      <c r="A191" s="6" t="n">
        <v>202</v>
      </c>
      <c r="B191" s="7" t="s">
        <v>393</v>
      </c>
      <c r="C191" s="6" t="s">
        <v>28</v>
      </c>
      <c r="D191" s="6" t="n">
        <v>2</v>
      </c>
      <c r="E191" s="8" t="n">
        <v>2340</v>
      </c>
      <c r="F191" s="7" t="s">
        <v>131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156</v>
      </c>
      <c r="R191" s="7" t="s">
        <v>31</v>
      </c>
    </row>
    <row r="192" customFormat="false" ht="22.35" hidden="false" customHeight="false" outlineLevel="0" collapsed="false">
      <c r="A192" s="6" t="n">
        <v>204</v>
      </c>
      <c r="B192" s="7" t="s">
        <v>394</v>
      </c>
      <c r="C192" s="6" t="s">
        <v>28</v>
      </c>
      <c r="D192" s="6" t="n">
        <v>6</v>
      </c>
      <c r="E192" s="8" t="n">
        <v>845</v>
      </c>
      <c r="F192" s="7" t="s">
        <v>395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24</v>
      </c>
      <c r="Q192" s="7" t="s">
        <v>396</v>
      </c>
      <c r="R192" s="7" t="s">
        <v>31</v>
      </c>
    </row>
    <row r="193" customFormat="false" ht="22.35" hidden="false" customHeight="false" outlineLevel="0" collapsed="false">
      <c r="A193" s="6" t="n">
        <v>205</v>
      </c>
      <c r="B193" s="7" t="s">
        <v>397</v>
      </c>
      <c r="C193" s="6" t="s">
        <v>28</v>
      </c>
      <c r="D193" s="6" t="n">
        <v>6</v>
      </c>
      <c r="E193" s="8" t="n">
        <v>910</v>
      </c>
      <c r="F193" s="7" t="s">
        <v>395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24</v>
      </c>
      <c r="Q193" s="7" t="s">
        <v>396</v>
      </c>
      <c r="R193" s="7" t="s">
        <v>31</v>
      </c>
    </row>
    <row r="194" customFormat="false" ht="22.35" hidden="false" customHeight="false" outlineLevel="0" collapsed="false">
      <c r="A194" s="6" t="n">
        <v>206</v>
      </c>
      <c r="B194" s="7" t="s">
        <v>398</v>
      </c>
      <c r="C194" s="6" t="s">
        <v>28</v>
      </c>
      <c r="D194" s="6" t="n">
        <v>6</v>
      </c>
      <c r="E194" s="8" t="n">
        <v>1170</v>
      </c>
      <c r="F194" s="7" t="s">
        <v>395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24</v>
      </c>
      <c r="Q194" s="7" t="s">
        <v>396</v>
      </c>
      <c r="R194" s="7" t="s">
        <v>31</v>
      </c>
    </row>
    <row r="195" customFormat="false" ht="22.35" hidden="false" customHeight="false" outlineLevel="0" collapsed="false">
      <c r="A195" s="6" t="n">
        <v>207</v>
      </c>
      <c r="B195" s="7" t="s">
        <v>399</v>
      </c>
      <c r="C195" s="6" t="s">
        <v>28</v>
      </c>
      <c r="D195" s="6" t="n">
        <v>4</v>
      </c>
      <c r="E195" s="8" t="n">
        <v>1430</v>
      </c>
      <c r="F195" s="7" t="s">
        <v>395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24</v>
      </c>
      <c r="Q195" s="7" t="s">
        <v>396</v>
      </c>
      <c r="R195" s="7" t="s">
        <v>31</v>
      </c>
    </row>
    <row r="196" customFormat="false" ht="22.35" hidden="false" customHeight="false" outlineLevel="0" collapsed="false">
      <c r="A196" s="6" t="n">
        <v>208</v>
      </c>
      <c r="B196" s="7" t="s">
        <v>400</v>
      </c>
      <c r="C196" s="6" t="s">
        <v>28</v>
      </c>
      <c r="D196" s="6" t="n">
        <v>3</v>
      </c>
      <c r="E196" s="8" t="n">
        <v>1690</v>
      </c>
      <c r="F196" s="7" t="s">
        <v>395</v>
      </c>
      <c r="G196" s="9" t="n">
        <v>11050</v>
      </c>
      <c r="H196" s="9" t="n">
        <v>14360</v>
      </c>
      <c r="I196" s="10" t="n">
        <f aca="false">IF(E196=0,0,(E196-H196)/E196)</f>
        <v>-7.49704142011834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16510</v>
      </c>
      <c r="L196" s="8" t="n">
        <f aca="false">D196*E196</f>
        <v>5070</v>
      </c>
      <c r="M196" s="8" t="n">
        <f aca="false">D196*K196</f>
        <v>49530</v>
      </c>
      <c r="N196" s="8" t="n">
        <f aca="false">D196*H196</f>
        <v>43080</v>
      </c>
      <c r="O196" s="6" t="str">
        <f aca="false">IF(ISNUMBER(SEARCH(C196,F196)),"","YES")</f>
        <v>YES</v>
      </c>
      <c r="P196" s="6" t="s">
        <v>24</v>
      </c>
      <c r="Q196" s="7" t="s">
        <v>396</v>
      </c>
      <c r="R196" s="7" t="s">
        <v>31</v>
      </c>
    </row>
    <row r="197" customFormat="false" ht="22.35" hidden="false" customHeight="false" outlineLevel="0" collapsed="false">
      <c r="A197" s="6" t="n">
        <v>209</v>
      </c>
      <c r="B197" s="7" t="s">
        <v>401</v>
      </c>
      <c r="C197" s="6" t="s">
        <v>28</v>
      </c>
      <c r="D197" s="6" t="n">
        <v>3</v>
      </c>
      <c r="E197" s="8" t="n">
        <v>2340</v>
      </c>
      <c r="F197" s="7" t="s">
        <v>395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24</v>
      </c>
      <c r="Q197" s="7" t="s">
        <v>396</v>
      </c>
      <c r="R197" s="7" t="s">
        <v>31</v>
      </c>
    </row>
    <row r="198" customFormat="false" ht="22.35" hidden="false" customHeight="false" outlineLevel="0" collapsed="false">
      <c r="A198" s="6" t="n">
        <v>210</v>
      </c>
      <c r="B198" s="7" t="s">
        <v>402</v>
      </c>
      <c r="C198" s="6" t="s">
        <v>28</v>
      </c>
      <c r="D198" s="6" t="n">
        <v>2</v>
      </c>
      <c r="E198" s="8" t="n">
        <v>2860</v>
      </c>
      <c r="F198" s="7" t="s">
        <v>395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24</v>
      </c>
      <c r="Q198" s="7" t="s">
        <v>396</v>
      </c>
      <c r="R198" s="7" t="s">
        <v>31</v>
      </c>
    </row>
    <row r="199" customFormat="false" ht="22.35" hidden="false" customHeight="false" outlineLevel="0" collapsed="false">
      <c r="A199" s="6" t="n">
        <v>211</v>
      </c>
      <c r="B199" s="7" t="s">
        <v>403</v>
      </c>
      <c r="C199" s="6" t="s">
        <v>28</v>
      </c>
      <c r="D199" s="6" t="n">
        <v>1</v>
      </c>
      <c r="E199" s="8" t="n">
        <v>4160</v>
      </c>
      <c r="F199" s="7" t="s">
        <v>395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24</v>
      </c>
      <c r="Q199" s="7" t="s">
        <v>396</v>
      </c>
      <c r="R199" s="7" t="s">
        <v>31</v>
      </c>
    </row>
    <row r="200" customFormat="false" ht="22.35" hidden="false" customHeight="false" outlineLevel="0" collapsed="false">
      <c r="A200" s="6" t="n">
        <v>212</v>
      </c>
      <c r="B200" s="7" t="s">
        <v>404</v>
      </c>
      <c r="C200" s="6" t="s">
        <v>28</v>
      </c>
      <c r="D200" s="6" t="n">
        <v>1</v>
      </c>
      <c r="E200" s="8" t="n">
        <v>5460</v>
      </c>
      <c r="F200" s="7" t="s">
        <v>395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24</v>
      </c>
      <c r="Q200" s="7" t="s">
        <v>396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405</v>
      </c>
      <c r="C201" s="6" t="s">
        <v>28</v>
      </c>
      <c r="D201" s="6" t="n">
        <v>2</v>
      </c>
      <c r="E201" s="8" t="n">
        <v>455</v>
      </c>
      <c r="F201" s="7" t="s">
        <v>131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156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406</v>
      </c>
      <c r="C202" s="6" t="s">
        <v>28</v>
      </c>
      <c r="D202" s="6" t="n">
        <v>2</v>
      </c>
      <c r="E202" s="8" t="n">
        <v>494</v>
      </c>
      <c r="F202" s="7" t="s">
        <v>131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156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407</v>
      </c>
      <c r="C203" s="6" t="s">
        <v>28</v>
      </c>
      <c r="D203" s="6" t="n">
        <v>2</v>
      </c>
      <c r="E203" s="8" t="n">
        <v>585</v>
      </c>
      <c r="F203" s="7" t="s">
        <v>131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156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408</v>
      </c>
      <c r="C204" s="6" t="s">
        <v>28</v>
      </c>
      <c r="D204" s="6" t="n">
        <v>2</v>
      </c>
      <c r="E204" s="8" t="n">
        <v>715</v>
      </c>
      <c r="F204" s="7" t="s">
        <v>131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156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409</v>
      </c>
      <c r="C205" s="6" t="s">
        <v>28</v>
      </c>
      <c r="D205" s="6" t="n">
        <v>2</v>
      </c>
      <c r="E205" s="8" t="n">
        <v>910</v>
      </c>
      <c r="F205" s="7" t="s">
        <v>131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156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410</v>
      </c>
      <c r="C206" s="6" t="s">
        <v>28</v>
      </c>
      <c r="D206" s="6" t="n">
        <v>2</v>
      </c>
      <c r="E206" s="8" t="n">
        <v>1170</v>
      </c>
      <c r="F206" s="7" t="s">
        <v>131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156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411</v>
      </c>
      <c r="C207" s="6" t="s">
        <v>28</v>
      </c>
      <c r="D207" s="6" t="n">
        <v>1</v>
      </c>
      <c r="E207" s="8" t="n">
        <v>1040</v>
      </c>
      <c r="F207" s="7" t="s">
        <v>131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156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412</v>
      </c>
      <c r="C208" s="6" t="s">
        <v>28</v>
      </c>
      <c r="D208" s="6" t="n">
        <v>1</v>
      </c>
      <c r="E208" s="8" t="n">
        <v>1430</v>
      </c>
      <c r="F208" s="7" t="s">
        <v>131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156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413</v>
      </c>
      <c r="C209" s="6" t="s">
        <v>28</v>
      </c>
      <c r="D209" s="6" t="n">
        <v>1</v>
      </c>
      <c r="E209" s="8" t="n">
        <v>1950</v>
      </c>
      <c r="F209" s="7" t="s">
        <v>131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156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414</v>
      </c>
      <c r="C210" s="6" t="s">
        <v>28</v>
      </c>
      <c r="D210" s="6" t="n">
        <v>1</v>
      </c>
      <c r="E210" s="8" t="n">
        <v>15600</v>
      </c>
      <c r="F210" s="7" t="s">
        <v>415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156</v>
      </c>
      <c r="R210" s="7" t="s">
        <v>31</v>
      </c>
    </row>
    <row r="211" customFormat="false" ht="32.8" hidden="false" customHeight="false" outlineLevel="0" collapsed="false">
      <c r="A211" s="6" t="n">
        <v>223</v>
      </c>
      <c r="B211" s="7" t="s">
        <v>416</v>
      </c>
      <c r="C211" s="6" t="s">
        <v>28</v>
      </c>
      <c r="D211" s="6" t="n">
        <v>2</v>
      </c>
      <c r="E211" s="8" t="n">
        <v>30940</v>
      </c>
      <c r="F211" s="7" t="s">
        <v>417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24</v>
      </c>
      <c r="Q211" s="7" t="s">
        <v>418</v>
      </c>
      <c r="R211" s="7" t="s">
        <v>419</v>
      </c>
    </row>
    <row r="212" customFormat="false" ht="22.35" hidden="false" customHeight="false" outlineLevel="0" collapsed="false">
      <c r="A212" s="6" t="n">
        <v>224</v>
      </c>
      <c r="B212" s="7" t="s">
        <v>420</v>
      </c>
      <c r="C212" s="6" t="s">
        <v>28</v>
      </c>
      <c r="D212" s="6" t="n">
        <v>2</v>
      </c>
      <c r="E212" s="8" t="n">
        <v>54600</v>
      </c>
      <c r="F212" s="7" t="s">
        <v>421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422</v>
      </c>
      <c r="R212" s="7" t="s">
        <v>423</v>
      </c>
    </row>
    <row r="213" customFormat="false" ht="15" hidden="false" customHeight="false" outlineLevel="0" collapsed="false">
      <c r="A213" s="6" t="n">
        <v>225</v>
      </c>
      <c r="B213" s="7" t="s">
        <v>424</v>
      </c>
      <c r="C213" s="6" t="s">
        <v>28</v>
      </c>
      <c r="D213" s="6" t="n">
        <v>24</v>
      </c>
      <c r="E213" s="8" t="n">
        <v>1170</v>
      </c>
      <c r="F213" s="7" t="s">
        <v>236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24</v>
      </c>
      <c r="Q213" s="7" t="s">
        <v>425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426</v>
      </c>
      <c r="C214" s="6" t="s">
        <v>28</v>
      </c>
      <c r="D214" s="6" t="n">
        <v>24</v>
      </c>
      <c r="E214" s="8" t="n">
        <v>1430</v>
      </c>
      <c r="F214" s="7" t="s">
        <v>236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24</v>
      </c>
      <c r="Q214" s="7" t="s">
        <v>425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427</v>
      </c>
      <c r="C215" s="6" t="s">
        <v>28</v>
      </c>
      <c r="D215" s="6" t="n">
        <v>24</v>
      </c>
      <c r="E215" s="8" t="n">
        <v>1820</v>
      </c>
      <c r="F215" s="7" t="s">
        <v>236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24</v>
      </c>
      <c r="Q215" s="7" t="s">
        <v>425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428</v>
      </c>
      <c r="C216" s="6" t="s">
        <v>28</v>
      </c>
      <c r="D216" s="6" t="n">
        <v>24</v>
      </c>
      <c r="E216" s="8" t="n">
        <v>2860</v>
      </c>
      <c r="F216" s="7" t="s">
        <v>236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24</v>
      </c>
      <c r="Q216" s="7" t="s">
        <v>425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429</v>
      </c>
      <c r="C217" s="6" t="s">
        <v>28</v>
      </c>
      <c r="D217" s="6" t="n">
        <v>24</v>
      </c>
      <c r="E217" s="8" t="n">
        <v>2340</v>
      </c>
      <c r="F217" s="7" t="s">
        <v>236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24</v>
      </c>
      <c r="Q217" s="7" t="s">
        <v>425</v>
      </c>
      <c r="R217" s="7" t="s">
        <v>31</v>
      </c>
    </row>
    <row r="218" customFormat="false" ht="32.8" hidden="false" customHeight="false" outlineLevel="0" collapsed="false">
      <c r="A218" s="6" t="n">
        <v>230</v>
      </c>
      <c r="B218" s="7" t="s">
        <v>430</v>
      </c>
      <c r="C218" s="6" t="s">
        <v>28</v>
      </c>
      <c r="D218" s="6" t="n">
        <v>1</v>
      </c>
      <c r="E218" s="8" t="n">
        <v>9750</v>
      </c>
      <c r="F218" s="7" t="s">
        <v>431</v>
      </c>
      <c r="G218" s="9" t="n">
        <v>5300</v>
      </c>
      <c r="H218" s="9" t="n">
        <v>6000</v>
      </c>
      <c r="I218" s="10" t="n">
        <f aca="false">IF(E218=0,0,(E218-H218)/E218)</f>
        <v>0.384615384615385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6000</v>
      </c>
      <c r="O218" s="6" t="str">
        <f aca="false">IF(ISNUMBER(SEARCH(C218,F218)),"","YES")</f>
        <v>YES</v>
      </c>
      <c r="P218" s="6" t="s">
        <v>24</v>
      </c>
      <c r="Q218" s="7" t="s">
        <v>432</v>
      </c>
      <c r="R218" s="7" t="s">
        <v>433</v>
      </c>
    </row>
    <row r="219" customFormat="false" ht="32.8" hidden="false" customHeight="false" outlineLevel="0" collapsed="false">
      <c r="A219" s="6" t="n">
        <v>231</v>
      </c>
      <c r="B219" s="7" t="s">
        <v>434</v>
      </c>
      <c r="C219" s="6" t="s">
        <v>28</v>
      </c>
      <c r="D219" s="6" t="n">
        <v>1</v>
      </c>
      <c r="E219" s="8" t="n">
        <v>12350</v>
      </c>
      <c r="F219" s="7" t="s">
        <v>435</v>
      </c>
      <c r="G219" s="9" t="n">
        <v>6500</v>
      </c>
      <c r="H219" s="9" t="n">
        <v>7500</v>
      </c>
      <c r="I219" s="10" t="n">
        <f aca="false">IF(E219=0,0,(E219-H219)/E219)</f>
        <v>0.392712550607287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12350</v>
      </c>
      <c r="L219" s="8" t="n">
        <f aca="false">D219*E219</f>
        <v>12350</v>
      </c>
      <c r="M219" s="8" t="n">
        <f aca="false">D219*K219</f>
        <v>12350</v>
      </c>
      <c r="N219" s="8" t="n">
        <f aca="false">D219*H219</f>
        <v>7500</v>
      </c>
      <c r="O219" s="6" t="str">
        <f aca="false">IF(ISNUMBER(SEARCH(C219,F219)),"","YES")</f>
        <v>YES</v>
      </c>
      <c r="P219" s="6" t="s">
        <v>24</v>
      </c>
      <c r="Q219" s="7" t="s">
        <v>436</v>
      </c>
      <c r="R219" s="7" t="s">
        <v>433</v>
      </c>
    </row>
    <row r="220" customFormat="false" ht="22.35" hidden="false" customHeight="false" outlineLevel="0" collapsed="false">
      <c r="A220" s="6" t="n">
        <v>233</v>
      </c>
      <c r="B220" s="7" t="s">
        <v>437</v>
      </c>
      <c r="C220" s="6" t="s">
        <v>120</v>
      </c>
      <c r="D220" s="6" t="n">
        <v>2</v>
      </c>
      <c r="E220" s="8" t="n">
        <v>52000</v>
      </c>
      <c r="F220" s="7" t="s">
        <v>120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438</v>
      </c>
      <c r="R220" s="7"/>
    </row>
    <row r="221" customFormat="false" ht="22.35" hidden="false" customHeight="false" outlineLevel="0" collapsed="false">
      <c r="A221" s="6" t="n">
        <v>234</v>
      </c>
      <c r="B221" s="7" t="s">
        <v>439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51</v>
      </c>
      <c r="Q221" s="7" t="s">
        <v>440</v>
      </c>
      <c r="R221" s="7" t="s">
        <v>53</v>
      </c>
    </row>
    <row r="222" customFormat="false" ht="22.35" hidden="false" customHeight="false" outlineLevel="0" collapsed="false">
      <c r="A222" s="6" t="n">
        <v>235</v>
      </c>
      <c r="B222" s="7" t="s">
        <v>441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156</v>
      </c>
      <c r="R222" s="7" t="s">
        <v>442</v>
      </c>
    </row>
    <row r="223" customFormat="false" ht="22.35" hidden="false" customHeight="false" outlineLevel="0" collapsed="false">
      <c r="A223" s="6" t="n">
        <v>236</v>
      </c>
      <c r="B223" s="7" t="s">
        <v>443</v>
      </c>
      <c r="C223" s="6" t="s">
        <v>22</v>
      </c>
      <c r="D223" s="6" t="n">
        <v>200</v>
      </c>
      <c r="E223" s="8" t="n">
        <v>2860</v>
      </c>
      <c r="F223" s="7" t="s">
        <v>444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445</v>
      </c>
      <c r="R223" s="7" t="s">
        <v>446</v>
      </c>
    </row>
    <row r="224" customFormat="false" ht="15" hidden="false" customHeight="false" outlineLevel="0" collapsed="false">
      <c r="A224" s="6" t="n">
        <v>237</v>
      </c>
      <c r="B224" s="7" t="s">
        <v>447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156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448</v>
      </c>
      <c r="C225" s="6" t="s">
        <v>28</v>
      </c>
      <c r="D225" s="6" t="n">
        <v>6</v>
      </c>
      <c r="E225" s="8" t="n">
        <v>8450</v>
      </c>
      <c r="F225" s="7" t="s">
        <v>449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450</v>
      </c>
      <c r="R225" s="7"/>
    </row>
    <row r="226" customFormat="false" ht="22.35" hidden="false" customHeight="false" outlineLevel="0" collapsed="false">
      <c r="A226" s="6" t="n">
        <v>239</v>
      </c>
      <c r="B226" s="7" t="s">
        <v>451</v>
      </c>
      <c r="C226" s="6" t="s">
        <v>120</v>
      </c>
      <c r="D226" s="6" t="n">
        <v>50</v>
      </c>
      <c r="E226" s="8" t="n">
        <v>65000</v>
      </c>
      <c r="F226" s="7" t="s">
        <v>120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452</v>
      </c>
      <c r="R226" s="7"/>
    </row>
    <row r="227" customFormat="false" ht="22.35" hidden="false" customHeight="false" outlineLevel="0" collapsed="false">
      <c r="A227" s="6" t="n">
        <v>240</v>
      </c>
      <c r="B227" s="7" t="s">
        <v>453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24</v>
      </c>
      <c r="Q227" s="7" t="s">
        <v>454</v>
      </c>
      <c r="R227" s="7" t="s">
        <v>455</v>
      </c>
    </row>
    <row r="228" customFormat="false" ht="15" hidden="false" customHeight="false" outlineLevel="0" collapsed="false">
      <c r="B228" s="3" t="s">
        <v>456</v>
      </c>
      <c r="L228" s="11" t="n">
        <f aca="false">SUM(L6:L227)</f>
        <v>12209508</v>
      </c>
      <c r="M228" s="11" t="n">
        <f aca="false">SUM(M6:M227)</f>
        <v>15503200</v>
      </c>
      <c r="N228" s="11" t="n">
        <f aca="false">SUM(N6:N227)</f>
        <v>12507977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457</v>
      </c>
    </row>
    <row r="3" customFormat="false" ht="15" hidden="false" customHeight="false" outlineLevel="0" collapsed="false">
      <c r="A3" s="13" t="s">
        <v>458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459</v>
      </c>
      <c r="B4" s="11" t="n">
        <f aca="false">COUNTIF('Rate Check'!J6:J227,"LOSS")</f>
        <v>86</v>
      </c>
    </row>
    <row r="5" customFormat="false" ht="15" hidden="false" customHeight="false" outlineLevel="0" collapsed="false">
      <c r="A5" s="13" t="s">
        <v>460</v>
      </c>
      <c r="B5" s="11" t="n">
        <f aca="false">COUNTIF('Rate Check'!J6:J227,"THIN / RISK")</f>
        <v>55</v>
      </c>
    </row>
    <row r="6" customFormat="false" ht="15" hidden="false" customHeight="false" outlineLevel="0" collapsed="false">
      <c r="A6" s="13" t="s">
        <v>461</v>
      </c>
      <c r="B6" s="11" t="n">
        <f aca="false">COUNTIF('Rate Check'!J6:J227,"OK")</f>
        <v>71</v>
      </c>
    </row>
    <row r="7" customFormat="false" ht="15" hidden="false" customHeight="false" outlineLevel="0" collapsed="false">
      <c r="A7" s="13" t="s">
        <v>462</v>
      </c>
      <c r="B7" s="11" t="n">
        <f aca="false">COUNTIF('Rate Check'!J6:J227,"OVERPRICED?")</f>
        <v>10</v>
      </c>
    </row>
    <row r="8" customFormat="false" ht="15" hidden="false" customHeight="false" outlineLevel="0" collapsed="false">
      <c r="A8" s="13" t="s">
        <v>463</v>
      </c>
      <c r="B8" s="11" t="n">
        <f aca="false">COUNTIF('Rate Check'!O6:O227,"YES")</f>
        <v>138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464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465</v>
      </c>
      <c r="B11" s="11" t="n">
        <f aca="false">'Rate Check'!N228</f>
        <v>12507977</v>
      </c>
    </row>
    <row r="12" customFormat="false" ht="15" hidden="false" customHeight="false" outlineLevel="0" collapsed="false">
      <c r="A12" s="13" t="s">
        <v>466</v>
      </c>
      <c r="B12" s="11" t="n">
        <f aca="false">B10-B11</f>
        <v>-298469</v>
      </c>
    </row>
    <row r="13" customFormat="false" ht="15" hidden="false" customHeight="false" outlineLevel="0" collapsed="false">
      <c r="A13" s="13" t="s">
        <v>467</v>
      </c>
      <c r="B13" s="14" t="n">
        <f aca="false">IF(B10=0,0,B12/B10)</f>
        <v>-0.0244456205770126</v>
      </c>
    </row>
    <row r="14" customFormat="false" ht="15" hidden="false" customHeight="false" outlineLevel="0" collapsed="false">
      <c r="A14" s="13" t="s">
        <v>468</v>
      </c>
      <c r="B14" s="11" t="n">
        <f aca="false">SUMPRODUCT(('Rate Check'!E6:E227&lt;'Rate Check'!H6:H227)*('Rate Check'!H6:H227-'Rate Check'!E6:E227)*'Rate Check'!D6:D227)</f>
        <v>2771050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469</v>
      </c>
      <c r="B16" s="11" t="n">
        <f aca="false">'Rate Check'!M228</f>
        <v>15503200</v>
      </c>
    </row>
    <row r="17" customFormat="false" ht="15" hidden="false" customHeight="false" outlineLevel="0" collapsed="false">
      <c r="A17" s="13" t="s">
        <v>470</v>
      </c>
      <c r="B17" s="14" t="n">
        <f aca="false">IF(B16=0,0,(B16-B11)/B16)</f>
        <v>0.193200307033387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471</v>
      </c>
      <c r="B19" s="11" t="n">
        <f aca="false">COUNTIF('Rate Check'!P6:P227,"V")</f>
        <v>51</v>
      </c>
    </row>
    <row r="20" customFormat="false" ht="15" hidden="false" customHeight="false" outlineLevel="0" collapsed="false">
      <c r="A20" s="13" t="s">
        <v>472</v>
      </c>
      <c r="B20" s="11" t="n">
        <f aca="false">COUNTIF('Rate Check'!P6:P227,"S")</f>
        <v>7</v>
      </c>
    </row>
    <row r="21" customFormat="false" ht="15" hidden="false" customHeight="false" outlineLevel="0" collapsed="false">
      <c r="A21" s="13" t="s">
        <v>473</v>
      </c>
      <c r="B21" s="11" t="n">
        <f aca="false">COUNTIF('Rate Check'!P6:P227,"N")</f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474</v>
      </c>
    </row>
    <row r="3" customFormat="false" ht="15" hidden="false" customHeight="false" outlineLevel="0" collapsed="false">
      <c r="A3" s="13" t="s">
        <v>475</v>
      </c>
      <c r="B3" s="15" t="s">
        <v>476</v>
      </c>
    </row>
    <row r="4" customFormat="false" ht="15" hidden="false" customHeight="false" outlineLevel="0" collapsed="false">
      <c r="A4" s="13" t="s">
        <v>477</v>
      </c>
      <c r="B4" s="15" t="s">
        <v>478</v>
      </c>
    </row>
    <row r="5" customFormat="false" ht="15" hidden="false" customHeight="false" outlineLevel="0" collapsed="false">
      <c r="A5" s="13" t="s">
        <v>479</v>
      </c>
      <c r="B5" s="15" t="s">
        <v>480</v>
      </c>
    </row>
    <row r="6" customFormat="false" ht="15" hidden="false" customHeight="false" outlineLevel="0" collapsed="false">
      <c r="A6" s="13" t="s">
        <v>481</v>
      </c>
      <c r="B6" s="15" t="s">
        <v>482</v>
      </c>
    </row>
    <row r="7" customFormat="false" ht="15" hidden="false" customHeight="false" outlineLevel="0" collapsed="false">
      <c r="A7" s="13" t="s">
        <v>483</v>
      </c>
      <c r="B7" s="15" t="s">
        <v>484</v>
      </c>
    </row>
    <row r="8" customFormat="false" ht="15" hidden="false" customHeight="false" outlineLevel="0" collapsed="false">
      <c r="A8" s="13" t="s">
        <v>485</v>
      </c>
      <c r="B8" s="15" t="s">
        <v>486</v>
      </c>
    </row>
    <row r="9" customFormat="false" ht="15" hidden="false" customHeight="false" outlineLevel="0" collapsed="false">
      <c r="A9" s="13" t="s">
        <v>487</v>
      </c>
      <c r="B9" s="15" t="s">
        <v>488</v>
      </c>
    </row>
    <row r="10" customFormat="false" ht="15" hidden="false" customHeight="false" outlineLevel="0" collapsed="false">
      <c r="A10" s="13" t="s">
        <v>489</v>
      </c>
      <c r="B10" s="15" t="s">
        <v>490</v>
      </c>
    </row>
    <row r="11" customFormat="false" ht="15" hidden="false" customHeight="false" outlineLevel="0" collapsed="false">
      <c r="A11" s="13" t="s">
        <v>491</v>
      </c>
      <c r="B11" s="15" t="s">
        <v>492</v>
      </c>
    </row>
    <row r="12" customFormat="false" ht="15" hidden="false" customHeight="false" outlineLevel="0" collapsed="false">
      <c r="A12" s="13" t="s">
        <v>493</v>
      </c>
      <c r="B12" s="15" t="s">
        <v>494</v>
      </c>
    </row>
    <row r="13" customFormat="false" ht="15" hidden="false" customHeight="false" outlineLevel="0" collapsed="false">
      <c r="A13" s="13" t="s">
        <v>495</v>
      </c>
      <c r="B13" s="15" t="s">
        <v>496</v>
      </c>
    </row>
    <row r="14" customFormat="false" ht="15" hidden="false" customHeight="false" outlineLevel="0" collapsed="false">
      <c r="A14" s="13" t="s">
        <v>497</v>
      </c>
      <c r="B14" s="15" t="s">
        <v>498</v>
      </c>
    </row>
    <row r="15" customFormat="false" ht="15" hidden="false" customHeight="false" outlineLevel="0" collapsed="false">
      <c r="A15" s="13" t="s">
        <v>499</v>
      </c>
      <c r="B15" s="15" t="s">
        <v>500</v>
      </c>
    </row>
    <row r="16" customFormat="false" ht="15" hidden="false" customHeight="false" outlineLevel="0" collapsed="false">
      <c r="A16" s="13" t="s">
        <v>501</v>
      </c>
      <c r="B16" s="15" t="s">
        <v>502</v>
      </c>
    </row>
    <row r="17" customFormat="false" ht="15" hidden="false" customHeight="false" outlineLevel="0" collapsed="false">
      <c r="A17" s="13" t="s">
        <v>503</v>
      </c>
      <c r="B17" s="15" t="s">
        <v>504</v>
      </c>
    </row>
    <row r="18" customFormat="false" ht="15" hidden="false" customHeight="false" outlineLevel="0" collapsed="false">
      <c r="A18" s="13" t="s">
        <v>505</v>
      </c>
      <c r="B18" s="15" t="s">
        <v>506</v>
      </c>
    </row>
    <row r="19" customFormat="false" ht="15" hidden="false" customHeight="false" outlineLevel="0" collapsed="false">
      <c r="A19" s="13" t="s">
        <v>507</v>
      </c>
      <c r="B19" s="15" t="s">
        <v>508</v>
      </c>
    </row>
    <row r="20" customFormat="false" ht="15" hidden="false" customHeight="false" outlineLevel="0" collapsed="false">
      <c r="A20" s="13" t="s">
        <v>509</v>
      </c>
      <c r="B20" s="15" t="s">
        <v>510</v>
      </c>
    </row>
    <row r="21" customFormat="false" ht="15" hidden="false" customHeight="false" outlineLevel="0" collapsed="false">
      <c r="A21" s="13" t="s">
        <v>511</v>
      </c>
      <c r="B21" s="15" t="s">
        <v>512</v>
      </c>
    </row>
    <row r="22" customFormat="false" ht="15" hidden="false" customHeight="false" outlineLevel="0" collapsed="false">
      <c r="A22" s="13" t="s">
        <v>513</v>
      </c>
      <c r="B22" s="15" t="s">
        <v>514</v>
      </c>
    </row>
    <row r="23" customFormat="false" ht="15" hidden="false" customHeight="false" outlineLevel="0" collapsed="false">
      <c r="A23" s="13" t="s">
        <v>515</v>
      </c>
      <c r="B23" s="15" t="s">
        <v>516</v>
      </c>
    </row>
    <row r="24" customFormat="false" ht="15" hidden="false" customHeight="false" outlineLevel="0" collapsed="false">
      <c r="A24" s="13" t="s">
        <v>517</v>
      </c>
      <c r="B24" s="15" t="s">
        <v>518</v>
      </c>
    </row>
    <row r="25" customFormat="false" ht="15" hidden="false" customHeight="false" outlineLevel="0" collapsed="false">
      <c r="A25" s="13" t="s">
        <v>519</v>
      </c>
      <c r="B25" s="15" t="s">
        <v>520</v>
      </c>
    </row>
    <row r="26" customFormat="false" ht="15" hidden="false" customHeight="false" outlineLevel="0" collapsed="false">
      <c r="A26" s="13" t="s">
        <v>521</v>
      </c>
      <c r="B26" s="15" t="s">
        <v>522</v>
      </c>
    </row>
    <row r="27" customFormat="false" ht="15" hidden="false" customHeight="false" outlineLevel="0" collapsed="false">
      <c r="A27" s="13" t="s">
        <v>523</v>
      </c>
      <c r="B27" s="15" t="s">
        <v>524</v>
      </c>
    </row>
    <row r="28" customFormat="false" ht="15" hidden="false" customHeight="false" outlineLevel="0" collapsed="false">
      <c r="A28" s="13" t="s">
        <v>525</v>
      </c>
      <c r="B28" s="15" t="s">
        <v>526</v>
      </c>
    </row>
    <row r="29" customFormat="false" ht="15" hidden="false" customHeight="false" outlineLevel="0" collapsed="false">
      <c r="A29" s="13" t="s">
        <v>527</v>
      </c>
      <c r="B29" s="15" t="s">
        <v>528</v>
      </c>
    </row>
    <row r="30" customFormat="false" ht="15" hidden="false" customHeight="false" outlineLevel="0" collapsed="false">
      <c r="A30" s="13" t="s">
        <v>529</v>
      </c>
      <c r="B30" s="15" t="s">
        <v>530</v>
      </c>
    </row>
    <row r="31" customFormat="false" ht="15" hidden="false" customHeight="false" outlineLevel="0" collapsed="false">
      <c r="A31" s="13" t="s">
        <v>531</v>
      </c>
      <c r="B31" s="15" t="s">
        <v>532</v>
      </c>
    </row>
    <row r="32" customFormat="false" ht="15" hidden="false" customHeight="false" outlineLevel="0" collapsed="false">
      <c r="A32" s="13" t="s">
        <v>533</v>
      </c>
      <c r="B32" s="15" t="s">
        <v>534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2026-10-09T15:37:53Z</dcterms:created>
  <dc:creator>openpyxl</dc:creator>
  <dc:description/>
  <dc:language>en-US</dc:language>
  <cp:lastModifiedBy/>
  <dcterms:modified xsi:type="dcterms:W3CDTF">2026-10-09T15:37:53Z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