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te Check" sheetId="1" state="visible" r:id="rId3"/>
    <sheet name="Summary" sheetId="2" state="visible" r:id="rId4"/>
    <sheet name="Sources" sheetId="3" state="visible" r:id="rId5"/>
  </sheets>
  <definedNames>
    <definedName function="false" hidden="true" localSheetId="0" name="_xlnm._FilterDatabase" vbProcedure="false">'Rate Check'!$A$5:$R$227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<sst xmlns="http://schemas.openxmlformats.org/spreadsheetml/2006/main" count="1357" uniqueCount="520">
  <si>
    <t xml:space="preserve">Zidane Corporation - Quote PR-217 &amp; PR-228: Brand + Buying Rate Check</t>
  </si>
  <si>
    <t xml:space="preserve">Target markup on buying (High):</t>
  </si>
  <si>
    <t xml:space="preserve">&lt;- yellow cell change karo, revised rates update ho jayenge</t>
  </si>
  <si>
    <t xml:space="preserve">SR#</t>
  </si>
  <si>
    <t xml:space="preserve">Item Description</t>
  </si>
  <si>
    <t xml:space="preserve">Quoted Brand</t>
  </si>
  <si>
    <t xml:space="preserve">Qty</t>
  </si>
  <si>
    <t xml:space="preserve">Quoted Rate (PKR)</t>
  </si>
  <si>
    <t xml:space="preserve">Correct / Suggested Brand</t>
  </si>
  <si>
    <t xml:space="preserve">Buying Low (PKR)</t>
  </si>
  <si>
    <t xml:space="preserve">Buying High (PKR)</t>
  </si>
  <si>
    <t xml:space="preserve">Margin on High Buy</t>
  </si>
  <si>
    <t xml:space="preserve">Status</t>
  </si>
  <si>
    <t xml:space="preserve">Revised Rate (PKR)</t>
  </si>
  <si>
    <t xml:space="preserve">Quoted Total</t>
  </si>
  <si>
    <t xml:space="preserve">Revised Total</t>
  </si>
  <si>
    <t xml:space="preserve">Cost Total (High)</t>
  </si>
  <si>
    <t xml:space="preserve">Brand Changed?</t>
  </si>
  <si>
    <t xml:space="preserve">Status (V/S/N)</t>
  </si>
  <si>
    <t xml:space="preserve">Source / Basis</t>
  </si>
  <si>
    <t xml:space="preserve">Note</t>
  </si>
  <si>
    <t xml:space="preserve">STONE CUTTING DISC 4"</t>
  </si>
  <si>
    <t xml:space="preserve">Industrial</t>
  </si>
  <si>
    <t xml:space="preserve">Rhodius</t>
  </si>
  <si>
    <t xml:space="preserve">S</t>
  </si>
  <si>
    <t xml:space="preserve">nasirnsons.com Rhodius 4in cutting disc Rs 280; toolshub Permanent 4in 120</t>
  </si>
  <si>
    <t xml:space="preserve">Spec/pack/stock farq - source dekho</t>
  </si>
  <si>
    <t xml:space="preserve">STEEL NAIL 1-1/2" Taiwan</t>
  </si>
  <si>
    <t xml:space="preserve">Licota</t>
  </si>
  <si>
    <t xml:space="preserve">Generic (Taiwan)</t>
  </si>
  <si>
    <t xml:space="preserve">N</t>
  </si>
  <si>
    <t xml:space="preserve">Hardware mkt</t>
  </si>
  <si>
    <t xml:space="preserve">Online nahi mila - dealer quote chahiye.</t>
  </si>
  <si>
    <t xml:space="preserve">MECHANICAL JACK 5 TON (Japan or Germany)</t>
  </si>
  <si>
    <t xml:space="preserve">Masada (Japan) / Yato</t>
  </si>
  <si>
    <t xml:space="preserve">Importer quote needed</t>
  </si>
  <si>
    <t xml:space="preserve">Online nahi mila - dealer quote chahiye. mech screw jack; alt hydraulic</t>
  </si>
  <si>
    <t xml:space="preserve">DRILL BIT 08 MM (Yato or any Good brand taiwan)</t>
  </si>
  <si>
    <t xml:space="preserve">Dormer A002</t>
  </si>
  <si>
    <t xml:space="preserve">toolsmart.pk Dormer A002 1-10mm from 900 (8mm exact n/a)</t>
  </si>
  <si>
    <t xml:space="preserve">Online nahi mila - dealer quote chahiye. single 8mm (ktools Bosch HSS range 520-5,500</t>
  </si>
  <si>
    <t xml:space="preserve">MECHANICAL JACK 03 TONS (Japan or germany)</t>
  </si>
  <si>
    <t xml:space="preserve">SAFETY HELMET (WHITE)</t>
  </si>
  <si>
    <t xml:space="preserve">Total</t>
  </si>
  <si>
    <t xml:space="preserve">V</t>
  </si>
  <si>
    <t xml:space="preserve">powerhouseexpress Total TSP2609 730-810 (alt Ingco 1,440)</t>
  </si>
  <si>
    <t xml:space="preserve">SAFETY GOOGLES</t>
  </si>
  <si>
    <t xml:space="preserve">Blue Eagle</t>
  </si>
  <si>
    <t xml:space="preserve">mjstraders + hacsons Blue Eagle NP102 350</t>
  </si>
  <si>
    <t xml:space="preserve">7 DRAWER TOOL TROLLEY</t>
  </si>
  <si>
    <t xml:space="preserve">toolsmart.pk LICOTA MADE IN TAIWAN 7 Drawer Cabinet Trolley without tools Rs 272,440 in stock (screenshot Hassan)</t>
  </si>
  <si>
    <t xml:space="preserve">DOUBLE OPEN RING OFFSET WRENCH SET (12PCS)</t>
  </si>
  <si>
    <t xml:space="preserve">toolsmart.pk Licota offset ring singles 8x10 1,230 / 14x15 2,060 / 24x26 3,420 / 30x32 4,240 -&gt; 12pc 6-32 sum ~29,600</t>
  </si>
  <si>
    <t xml:space="preserve">DOUBLE OPEN END WRENCH 6 TO 32 (12 PCS SET)</t>
  </si>
  <si>
    <t xml:space="preserve">Harden</t>
  </si>
  <si>
    <t xml:space="preserve">toolsmart.pk Harden double open-end spanner 6-32mm 12pc Rs 12,630 (alt Ingco HKSPA2142 ingcotool 9,899)</t>
  </si>
  <si>
    <t xml:space="preserve">DOUBLE OPEN END WRENCH 36X41</t>
  </si>
  <si>
    <t xml:space="preserve">toolsmart.pk Licota double open end 36x41 Rs 7,430</t>
  </si>
  <si>
    <t xml:space="preserve">DOUBLE OPEN END WRENCH 41X46</t>
  </si>
  <si>
    <t xml:space="preserve">toolsmart.pk Licota double open end 41x46 Rs 12,310</t>
  </si>
  <si>
    <t xml:space="preserve">COMBINATION WRENCH 8 TO 32 (14 PCS SET)</t>
  </si>
  <si>
    <t xml:space="preserve">Tolsen</t>
  </si>
  <si>
    <t xml:space="preserve">imsons.com.pk Tolsen 15889 combination spanner 6-32mm 14pc Rs 11,780; toolexpert.pk 7,500</t>
  </si>
  <si>
    <t xml:space="preserve">SOCKET SET (113PCS) 1/4" &amp; 1/2"</t>
  </si>
  <si>
    <t xml:space="preserve">toolsmart Licota 120pc 56,890-67,130</t>
  </si>
  <si>
    <t xml:space="preserve">PIN PUNCH SET (06PCS SET)</t>
  </si>
  <si>
    <t xml:space="preserve">toolsmart.pk Licota 6pc pin punch 5,460; ktools.pk 6,000 (oos)</t>
  </si>
  <si>
    <t xml:space="preserve">HOLLOW PUNCH (3MM-25MM) (15PCS SET)</t>
  </si>
  <si>
    <t xml:space="preserve">Harden 12pc hollow punch 3-16mm 610848: toolsmart 4,140; ingcotool 4,199-4,699; toolshop 4,399</t>
  </si>
  <si>
    <t xml:space="preserve">LONG TYPE HEX KEY WRENCH SET 09 PCS</t>
  </si>
  <si>
    <t xml:space="preserve">toolsmart Licota 9pc long hex 4,400</t>
  </si>
  <si>
    <t xml:space="preserve">SHORT TYPE HEX KEY WRENCH SET (09PCS)</t>
  </si>
  <si>
    <t xml:space="preserve">toolsmart.pk Licota 9pc short type hex key set 1.5-10mm Rs 3,540</t>
  </si>
  <si>
    <t xml:space="preserve">LONG TYPE HEX WRENCH SET 09 PCS</t>
  </si>
  <si>
    <t xml:space="preserve">same as 17</t>
  </si>
  <si>
    <t xml:space="preserve">ALLEN HEX KEY 12MM</t>
  </si>
  <si>
    <t xml:space="preserve">goldentools.ae Licota 12mm hex AED 250/20pc (12.5 ea) x90; Licota PK/UAE ratio ~90 (calibrated: locking plier 10in 4,000/AED42, 143pc 104,750/AED1,200, pin punch 5,460/AED48, hex 9pc 4,400/AED45)</t>
  </si>
  <si>
    <t xml:space="preserve">ALLEN (HEX) KEY 14MM</t>
  </si>
  <si>
    <t xml:space="preserve">goldentools.ae Licota hex 12mm scaled to 14mm x90</t>
  </si>
  <si>
    <t xml:space="preserve">ALLEN (HEX) KEY 16MM</t>
  </si>
  <si>
    <t xml:space="preserve">goldentools.ae Licota hex 12mm scaled to 16mm x90</t>
  </si>
  <si>
    <t xml:space="preserve">CIRCLIP PLIER INTERNAL STRAIGHT 175MM</t>
  </si>
  <si>
    <t xml:space="preserve">toolsmart.pk Licota 4pc snap ring set 175mm Rs 13,750 (=3,438/pc)</t>
  </si>
  <si>
    <t xml:space="preserve">CIRCLIP PLIER INTERNAL BENT 175MM</t>
  </si>
  <si>
    <t xml:space="preserve">CIRCLIP PLIER EXTERNAL STRAIGHT 175MM</t>
  </si>
  <si>
    <t xml:space="preserve">CIRCLIP PLIER EXTERNAL BENT 175MM</t>
  </si>
  <si>
    <t xml:space="preserve">CIRCLIP PLIER INTERNAL STRAIGHT 230MM</t>
  </si>
  <si>
    <t xml:space="preserve">goldentools.ae Licota snap ring set 4pc 175mm AED 212.5; toolsmart.pk same set 13,750 (3,438/pc) -&gt; 230mm +30%</t>
  </si>
  <si>
    <t xml:space="preserve">Online nahi mila - dealer quote chahiye. 230mm circlip</t>
  </si>
  <si>
    <t xml:space="preserve">CIRCLIP PLIER EXTERNAL STRAIGHT 230MM</t>
  </si>
  <si>
    <t xml:space="preserve">CHISEL SET (05 PCS SET)</t>
  </si>
  <si>
    <t xml:space="preserve">toolsmart Licota 5pc punch chisel 4,000-4,720</t>
  </si>
  <si>
    <t xml:space="preserve">PIPE WRENCH SIZE 10"</t>
  </si>
  <si>
    <t xml:space="preserve">toolsmart.pk Total pipe wrench 10in Rs 1,700; totaltool.pk 1,400</t>
  </si>
  <si>
    <t xml:space="preserve">PIPE WRENCH SIZE 12"</t>
  </si>
  <si>
    <t xml:space="preserve">toolsmart.pk Harden heavy duty pipe wrench 12in Rs 2,850</t>
  </si>
  <si>
    <t xml:space="preserve">PIPE WRENCH SIZE 18"</t>
  </si>
  <si>
    <t xml:space="preserve">toolsmart Licota 18in pipe wrench 9,620</t>
  </si>
  <si>
    <t xml:space="preserve">PIPE WRENCH SIZE 24"</t>
  </si>
  <si>
    <t xml:space="preserve">toolsmart.pk Harden pipe wrench 24in Rs 6,560</t>
  </si>
  <si>
    <t xml:space="preserve">PIPE WRENCH SIZE 36"</t>
  </si>
  <si>
    <t xml:space="preserve">totaltool.pk Total pipe wrench 36in THT171366 Rs 7,900 (alt Wiseup toolshub 6,300)</t>
  </si>
  <si>
    <t xml:space="preserve">SLEDGE HAMMER 1 LBS WITH FIBREGLASS HANDLE</t>
  </si>
  <si>
    <t xml:space="preserve">toolsmart.pk Total sledge 2lb THT79026 Rs 2,000; purchaser 1,820 (1lb nahi mila)</t>
  </si>
  <si>
    <t xml:space="preserve">SLEDGE HAMMER 3 LBS WITH FIBREGLASS HANDLE</t>
  </si>
  <si>
    <t xml:space="preserve">toolsmart.pk Harden 3lb sledge fibreglass 590323 Rs 3,380</t>
  </si>
  <si>
    <t xml:space="preserve">SOFT FACE DEAD BLOW HAMMER 50MM</t>
  </si>
  <si>
    <t xml:space="preserve">pakistanpowertools.com Harden dead blow mallet 590445 Rs 1,987-2,450</t>
  </si>
  <si>
    <t xml:space="preserve">VICE GRIP PLIER 08"</t>
  </si>
  <si>
    <t xml:space="preserve">toolsmart.pk Licota curved jaw locking plier 10in Rs 4,000 / 7in Rs 3,730 (8in n/a)</t>
  </si>
  <si>
    <t xml:space="preserve">CORDLESS IMPACT WRENCH 185NM (Bosch)</t>
  </si>
  <si>
    <t xml:space="preserve">Bosch Professional</t>
  </si>
  <si>
    <t xml:space="preserve">ktools GDX 180-Li 45,000 solo / 79,000 kit; kamadi 75,200</t>
  </si>
  <si>
    <t xml:space="preserve">CORDLESS IMPACT WRENCH 350N (Bosch)</t>
  </si>
  <si>
    <t xml:space="preserve">Bosch Professional GDS 18V-350</t>
  </si>
  <si>
    <t xml:space="preserve">bosch-pt.com.ph GDS 18V-350 bare PHP 5,915 x~5.6 (calibrated: GDS 18V-1000 PH 12,600 vs PK solo 70,000) + 2x4Ah battery &amp; charger</t>
  </si>
  <si>
    <t xml:space="preserve">Online nahi mila - dealer quote chahiye. GDS 18V-350</t>
  </si>
  <si>
    <t xml:space="preserve">CORDLESS IMPACT WRENCH 1000N (Bosch)</t>
  </si>
  <si>
    <t xml:space="preserve">kamadi GDS 18V-1000 kit 143,800; ktools solo 70,000 (oos)</t>
  </si>
  <si>
    <t xml:space="preserve">HEX IMPACT ADAPTOR 1/2" FEMALE TO 1/4" FEMALE</t>
  </si>
  <si>
    <t xml:space="preserve">toolsmart.pk Licota impact adapter 3/8F x 1/2M 1,130 (similar)</t>
  </si>
  <si>
    <t xml:space="preserve">FLAT FILE 12"</t>
  </si>
  <si>
    <t xml:space="preserve">Yato</t>
  </si>
  <si>
    <t xml:space="preserve">zeeshanhardware Yato YT-6190 12in 1,750</t>
  </si>
  <si>
    <t xml:space="preserve">ROUNDE FILE 12"</t>
  </si>
  <si>
    <t xml:space="preserve">zeeshanhardware Yato 12in file 1,750 (flat; round similar)</t>
  </si>
  <si>
    <t xml:space="preserve">Online nahi mila - dealer quote chahiye. Yato round file</t>
  </si>
  <si>
    <t xml:space="preserve">UNIVERSAL PULLER 2-ARMED WITH HOOK BRAKE 21</t>
  </si>
  <si>
    <t xml:space="preserve">goldentools.ae Licota 3-jaw 6in AED 120 / 4in AED 65 scaled x90</t>
  </si>
  <si>
    <t xml:space="preserve">UNIVERSAL PULLER 2-ARMED WITH HOOK BRAK 250</t>
  </si>
  <si>
    <t xml:space="preserve">goldentools.ae Licota puller AED 120 (6in) scaled to 250mm x90</t>
  </si>
  <si>
    <t xml:space="preserve">UNIVERSAL PULLER 2-ARMED 160 X 300 MM 5T</t>
  </si>
  <si>
    <t xml:space="preserve">goldentools.ae Licota puller scaled to 160x300 5T x90</t>
  </si>
  <si>
    <t xml:space="preserve">UNIVERSAL PULLER 2-ARMED 250 X 300 MM 7.5T</t>
  </si>
  <si>
    <t xml:space="preserve">goldentools.ae Licota puller scaled to 250x300 7.5T x90</t>
  </si>
  <si>
    <t xml:space="preserve">INTERNAL EXTRACTOR WITH REINFORCED COLLAR</t>
  </si>
  <si>
    <t xml:space="preserve">Licota internal extractor (ATB-1208 class) est x90</t>
  </si>
  <si>
    <t xml:space="preserve">MECHANICAL PULLER 3 ARMED 200X200</t>
  </si>
  <si>
    <t xml:space="preserve">zeeshanhardware.pk Yato YT-2522 bearing puller 8in Rs 8,500</t>
  </si>
  <si>
    <t xml:space="preserve">MECHANICAL PULLER 3 ARMED 250X250</t>
  </si>
  <si>
    <t xml:space="preserve">imartpk.com Yato 3 arms jaw puller 12in Rs 19,030</t>
  </si>
  <si>
    <t xml:space="preserve">DRILL MACHINE CORDLESS ROTARY HAMMER Bosch</t>
  </si>
  <si>
    <t xml:space="preserve">ktools GBH 180-Li 49,000 solo / 115,000 kit</t>
  </si>
  <si>
    <t xml:space="preserve">MANUAL GREASE GUN 5KG</t>
  </si>
  <si>
    <t xml:space="preserve">Yato / Industrial (bucket type)</t>
  </si>
  <si>
    <t xml:space="preserve">Market</t>
  </si>
  <si>
    <t xml:space="preserve">Online nahi mila - dealer quote chahiye. 5kg bucket grease pump</t>
  </si>
  <si>
    <t xml:space="preserve">AIR GREASE GUN 500CC</t>
  </si>
  <si>
    <t xml:space="preserve">goldentools.ae Licota hand grease gun AGH-10004H AED 120 (=toolsmart 7,760) -&gt; air gun ~1.5x</t>
  </si>
  <si>
    <t xml:space="preserve">Online nahi mila - dealer quote chahiye. air grease gun</t>
  </si>
  <si>
    <t xml:space="preserve">HAND GREASE GUN WITH HOSE 500CC</t>
  </si>
  <si>
    <t xml:space="preserve">toolsmart Licota grease gun 400cc 7,760</t>
  </si>
  <si>
    <t xml:space="preserve">GREASE PIPE 1/4"X12"</t>
  </si>
  <si>
    <t xml:space="preserve">DOUBLE HANDLE GREASE NOZZLE</t>
  </si>
  <si>
    <t xml:space="preserve">STEEL MEASURMENT TAPE 100M</t>
  </si>
  <si>
    <t xml:space="preserve">toolsmart.pk Total fibreglass tape 100m TMTF131006 Rs 5,250 (steel 100m nahi mila)</t>
  </si>
  <si>
    <t xml:space="preserve">STEEL MEASURMENT TAPE 50M</t>
  </si>
  <si>
    <t xml:space="preserve">Ingco</t>
  </si>
  <si>
    <t xml:space="preserve">toolsmart.pk Ingco 50m steel tape HSMT8550 Rs 5,920 (alt Total TMT710506 4,750)</t>
  </si>
  <si>
    <t xml:space="preserve">ALIGNING PRY BAR DIA 5/8" X 18" LENGTH</t>
  </si>
  <si>
    <t xml:space="preserve">toolshop.pk Ingco crow wrecking bar HWBA01242 (24in) Rs 3,499 (18in nahi)</t>
  </si>
  <si>
    <t xml:space="preserve">ADJUSTABLE WRENCH 15"</t>
  </si>
  <si>
    <t xml:space="preserve">toolsmart.pk Ingco 15in adjustable HADW131152 Rs 4,630 (alt Total 3,890)</t>
  </si>
  <si>
    <t xml:space="preserve">ROUGH FILE SMOOTH 10"</t>
  </si>
  <si>
    <t xml:space="preserve">zeeshanhardware Yato YT-6228 10in 1,350</t>
  </si>
  <si>
    <t xml:space="preserve">POLISH FILE SMOOTH 10"</t>
  </si>
  <si>
    <t xml:space="preserve">REVOLVING CENTRE MT4</t>
  </si>
  <si>
    <t xml:space="preserve">Vertex (Taiwan)</t>
  </si>
  <si>
    <t xml:space="preserve">REVOLVING CENTRE MT3</t>
  </si>
  <si>
    <t xml:space="preserve">CIRCUMFERENCE TAPE (60-950) (D20-300)</t>
  </si>
  <si>
    <t xml:space="preserve">Insize</t>
  </si>
  <si>
    <t xml:space="preserve">CIRCUMFERENCE TAPE (940-2200) (D300-700)</t>
  </si>
  <si>
    <t xml:space="preserve">MEASURING TAPE 5M</t>
  </si>
  <si>
    <t xml:space="preserve">toolsmart.pk Total steel tape 5m TMT126251 Rs 1,000; totaltool.pk 700-770</t>
  </si>
  <si>
    <t xml:space="preserve">HSS COBALT DRILL SET 1-13MM 25 PCS</t>
  </si>
  <si>
    <t xml:space="preserve">pakistanpowertools.com Ingco AKD1251 25pc 1-13mm Rs 22,185; almirajtrading 15,968 (M2 HSS)</t>
  </si>
  <si>
    <t xml:space="preserve">HSS DRILL BITS 1/16-1/2" 29 PCS SET</t>
  </si>
  <si>
    <t xml:space="preserve">Dormer A095 (A002 x29)</t>
  </si>
  <si>
    <t xml:space="preserve">mrosupply Dormer A09518 29pc set (USD) scaled - PK listing n/a</t>
  </si>
  <si>
    <t xml:space="preserve">Online nahi mila - dealer quote chahiye. 29pc inch set</t>
  </si>
  <si>
    <t xml:space="preserve">HSS DRILL BIT 14MM TAPER SHANK</t>
  </si>
  <si>
    <t xml:space="preserve">Dormer A130</t>
  </si>
  <si>
    <t xml:space="preserve">Dormer A130 14mm: khmtools.com.ph PHP list x4.95 (+30% PK import); toolsmart.pk A130 range from 5,880</t>
  </si>
  <si>
    <t xml:space="preserve">HSS DRILL BIT 15MM TAPER SHANK</t>
  </si>
  <si>
    <t xml:space="preserve">Dormer A130 15mm: khmtools.com.ph PHP list x4.95 (+30% PK import); toolsmart.pk A130 range from 5,880</t>
  </si>
  <si>
    <t xml:space="preserve">HSS DRILL BIT 15.5MM TAPER SHANK</t>
  </si>
  <si>
    <t xml:space="preserve">Dormer A130 15.5mm: khmtools.com.ph PHP list x4.95 (+30% PK import); toolsmart.pk A130 range from 5,880</t>
  </si>
  <si>
    <t xml:space="preserve">HSS DRILL BIT 16MM TAPER SHANK</t>
  </si>
  <si>
    <t xml:space="preserve">Dormer A130 16mm: khmtools.com.ph PHP list x4.95 (+30% PK import); toolsmart.pk A130 range from 5,880</t>
  </si>
  <si>
    <t xml:space="preserve">HSS DRILL BIT 16.5MM TAPER SHANK</t>
  </si>
  <si>
    <t xml:space="preserve">Dormer A130 16.5mm: khmtools.com.ph PHP list x4.95 (+30% PK import); toolsmart.pk A130 range from 5,880</t>
  </si>
  <si>
    <t xml:space="preserve">HSS DRILL BIT 17MM TAPER SHANK</t>
  </si>
  <si>
    <t xml:space="preserve">Dormer A130 17mm: khmtools.com.ph PHP list x4.95 (+30% PK import); toolsmart.pk A130 range from 5,880</t>
  </si>
  <si>
    <t xml:space="preserve">HSS DRILL BIT 17.5MM TAPER SHANK</t>
  </si>
  <si>
    <t xml:space="preserve">Dormer A130 17.5mm: khmtools.com.ph PHP list x4.95 (+30% PK import); toolsmart.pk A130 range from 5,880</t>
  </si>
  <si>
    <t xml:space="preserve">HSS DRILL BIT 19MM TAPER SHANK</t>
  </si>
  <si>
    <t xml:space="preserve">Dormer A130 19mm: khmtools.com.ph PHP list x4.95 (+30% PK import); toolsmart.pk A130 range from 5,880</t>
  </si>
  <si>
    <t xml:space="preserve">HSS DRILL BIT 21MM TAPER SHANK</t>
  </si>
  <si>
    <t xml:space="preserve">Dormer A130 21mm: khmtools.com.ph PHP list x4.95 (+30% PK import); toolsmart.pk A130 range from 5,880</t>
  </si>
  <si>
    <t xml:space="preserve">HSS DRILL BIT 25MM TAPER SHANK</t>
  </si>
  <si>
    <t xml:space="preserve">Dormer A130 25mm: khmtools.com.ph PHP list x4.95 (+30% PK import); toolsmart.pk A130 range from 5,880</t>
  </si>
  <si>
    <t xml:space="preserve">HSS DRILL BIT 30MM TAPER SHANK</t>
  </si>
  <si>
    <t xml:space="preserve">Dormer A130 30mm: khmtools.com.ph PHP list x4.95 (+30% PK import); toolsmart.pk A130 range from 5,880</t>
  </si>
  <si>
    <t xml:space="preserve">HSS DRILL BIT 32MM TAPER SHANK</t>
  </si>
  <si>
    <t xml:space="preserve">Dormer A130 32mm: khmtools.com.ph PHP list x4.95 (+30% PK import); toolsmart.pk A130 range from 5,880</t>
  </si>
  <si>
    <t xml:space="preserve">HSS DRILL BIT 35MM TAPER SHANK</t>
  </si>
  <si>
    <t xml:space="preserve">Dormer A130 35mm: khmtools.com.ph PHP list x4.95 (+30% PK import); toolsmart.pk A130 range from 5,880</t>
  </si>
  <si>
    <t xml:space="preserve">MORSE TAPER EXTENSION SOCKET SLEEVE ADAPT</t>
  </si>
  <si>
    <t xml:space="preserve">DEAD CENTRE DIAMOND TIP M2</t>
  </si>
  <si>
    <t xml:space="preserve">DEAD CENTRE DIAMOND TIP M3</t>
  </si>
  <si>
    <t xml:space="preserve">DIGITAL VERINER CALIPER 300MM (Insize brand)</t>
  </si>
  <si>
    <t xml:space="preserve">kamadi 1108-300 18,100; amjadhardware 15,800; ktools 19,500</t>
  </si>
  <si>
    <t xml:space="preserve">MANUAL VERNIER CALLIPER 12" (Insize brand)</t>
  </si>
  <si>
    <t xml:space="preserve">kamadi 1205-300S 15,800</t>
  </si>
  <si>
    <t xml:space="preserve">MANUAL VERNIER CALLIPER 8" (Insize (Bosch))</t>
  </si>
  <si>
    <t xml:space="preserve">purchaser 1205-200S 7,928</t>
  </si>
  <si>
    <t xml:space="preserve">VERNIER DEPTH GUAGE 250MM GRADUATION 0.02M</t>
  </si>
  <si>
    <t xml:space="preserve">Online nahi mila - dealer quote chahiye. depth gauge 250</t>
  </si>
  <si>
    <t xml:space="preserve">CORDLESS DRILL DRIVER 150NM Bosch</t>
  </si>
  <si>
    <t xml:space="preserve">ktools Bosch GSB 18V-150C 199,500 (oos, single listing)</t>
  </si>
  <si>
    <t xml:space="preserve">TAP SET 1/2" BSPF LEFT HAND (Dormer)</t>
  </si>
  <si>
    <t xml:space="preserve">Dormer</t>
  </si>
  <si>
    <t xml:space="preserve">TAP SET 1/2" BSPF RIGHT HAND</t>
  </si>
  <si>
    <t xml:space="preserve">Dormer / Totem</t>
  </si>
  <si>
    <t xml:space="preserve">TAP SET 3/8" BSPF</t>
  </si>
  <si>
    <t xml:space="preserve">TAP SET 1/4" BSPF</t>
  </si>
  <si>
    <t xml:space="preserve">TAP SET 1/8" BSPF</t>
  </si>
  <si>
    <t xml:space="preserve">WIRE BRUSH HEAVY DUTY 4/5 NROW</t>
  </si>
  <si>
    <t xml:space="preserve">toolsmart.pk Harden steel brush wood handle 4 row Rs 540; pakistanpowertools 325-510</t>
  </si>
  <si>
    <t xml:space="preserve">WELDING HELMET (FLIP FRONT)</t>
  </si>
  <si>
    <t xml:space="preserve">Online nahi mila - dealer quote chahiye. flip-front (alt Wadfow auto-darkening WWH2501 powerhouse 3,840</t>
  </si>
  <si>
    <t xml:space="preserve">WELDING LEATHER GLOVES 16"</t>
  </si>
  <si>
    <t xml:space="preserve">Leather Forge</t>
  </si>
  <si>
    <t xml:space="preserve">mjstraders Leather Forge 16in welding gloves 800 (alt Total TSP15161 toolsmart 2,640)</t>
  </si>
  <si>
    <t xml:space="preserve">C-CLAMP 6"</t>
  </si>
  <si>
    <t xml:space="preserve">toolsmart.pk Total G clamp 6in THT13161 Rs 2,420</t>
  </si>
  <si>
    <t xml:space="preserve">C-CLAMP 12"</t>
  </si>
  <si>
    <t xml:space="preserve">Online nahi mila - dealer quote chahiye. 12in (Total G clamp range totaltool 1,430-3,699 size unclear</t>
  </si>
  <si>
    <t xml:space="preserve">SPIRIT LEVEL 1 METER</t>
  </si>
  <si>
    <t xml:space="preserve">Total spirit level 100cm TMT210026: powerhouseexpress 2,808-3,350; totaltool 2,600 (Yato 600mm amjadhardware 2,800)</t>
  </si>
  <si>
    <t xml:space="preserve">MAGNET SPIRIT LEVEL 12"</t>
  </si>
  <si>
    <t xml:space="preserve">Online nahi mila - dealer quote chahiye. 12in magnetic level</t>
  </si>
  <si>
    <t xml:space="preserve">CARBON STEEL RIGHT ANGLE 150MM</t>
  </si>
  <si>
    <t xml:space="preserve">toolshop.pk Ingco stainless try square HSMT08352 Rs 860 (size confirm)</t>
  </si>
  <si>
    <t xml:space="preserve">CARBON STEEL RIGHT ANGLE 300MM</t>
  </si>
  <si>
    <t xml:space="preserve">ezmakaan.com Harden aluminium try square 300mm 580713 Rs 3,125</t>
  </si>
  <si>
    <t xml:space="preserve">GAS CUTTING TORCH MEDIUM 6-50MM</t>
  </si>
  <si>
    <t xml:space="preserve">aliweldinghouse.pk 100B gas cutting torch with connectors Rs 8,500 (388 torch 6,500-7,000)</t>
  </si>
  <si>
    <t xml:space="preserve">CUTTING TIPS/NOZZLES NO. 02 (6MM-12MM)</t>
  </si>
  <si>
    <t xml:space="preserve">aliweldinghouse.pk GK cutting nozzle Rs 1,600</t>
  </si>
  <si>
    <t xml:space="preserve">CUTTING TIPS/NOZZLES NO. 03 (12MM-25)</t>
  </si>
  <si>
    <t xml:space="preserve">OXYGEN REGULATOR 0-10 BAR</t>
  </si>
  <si>
    <t xml:space="preserve">Tanaka</t>
  </si>
  <si>
    <t xml:space="preserve">akramengineering Tanaka oxygen regulator JGR-13A 5,000 (alt Gold Flex 4,000)</t>
  </si>
  <si>
    <t xml:space="preserve">FUEL GAS REGULATOR 0-2.5 BAR</t>
  </si>
  <si>
    <t xml:space="preserve">Online nahi mila - dealer quote chahiye. fuel gas regulator</t>
  </si>
  <si>
    <t xml:space="preserve">OXYGEN HOSE 08MM ID</t>
  </si>
  <si>
    <t xml:space="preserve">Market (per metre)</t>
  </si>
  <si>
    <t xml:space="preserve">ACETYLENE GAS HOSE 08 ID</t>
  </si>
  <si>
    <t xml:space="preserve">CYLINDER KEY/SPANNER</t>
  </si>
  <si>
    <t xml:space="preserve">TIP CLEANER FOR GAS WELDING TORCH</t>
  </si>
  <si>
    <t xml:space="preserve">WELDING/CUTTING GOGGLES</t>
  </si>
  <si>
    <t xml:space="preserve">toolsmart Total welding goggle TSP303 600; mjstraders WG208 500</t>
  </si>
  <si>
    <t xml:space="preserve">AC/DC SINGLE PHASE WELDING PLANT 300 AMP</t>
  </si>
  <si>
    <t xml:space="preserve">WACTA20</t>
  </si>
  <si>
    <t xml:space="preserve">houseoftools.com.pk Inverter AC/DC TIG/MMA WACTA20 Rs 126,000 (TIG 5-200A, MMA 20-180A, 220V)</t>
  </si>
  <si>
    <t xml:space="preserve">TIG WELDING TORCH AIR-COOLED 5METER</t>
  </si>
  <si>
    <t xml:space="preserve">Online nahi mila - dealer quote chahiye. TIG torch</t>
  </si>
  <si>
    <t xml:space="preserve">TORCH HEAD ARGON WELDING</t>
  </si>
  <si>
    <t xml:space="preserve">COLLECT OF ARGON 2.4MM</t>
  </si>
  <si>
    <t xml:space="preserve">COLLECT BODY FOR ARGON 2.4MM</t>
  </si>
  <si>
    <t xml:space="preserve">CERAMIC CUP NO.5</t>
  </si>
  <si>
    <t xml:space="preserve">CERAMIC CUP NO.6</t>
  </si>
  <si>
    <t xml:space="preserve">CERAMIC CUP NO.7</t>
  </si>
  <si>
    <t xml:space="preserve">TUNGSTEN ELECTRODE 2.4MM</t>
  </si>
  <si>
    <t xml:space="preserve">Market (per pack of 10)</t>
  </si>
  <si>
    <t xml:space="preserve">Online nahi mila - dealer quote chahiye. tungsten - aliweldinghouse listed, price n/a</t>
  </si>
  <si>
    <t xml:space="preserve">ARGON REGULATOR FLOW METER</t>
  </si>
  <si>
    <t xml:space="preserve">WM</t>
  </si>
  <si>
    <t xml:space="preserve">aliweldinghouse WM argon regulator 5,000-6,000</t>
  </si>
  <si>
    <t xml:space="preserve">ARGON GAS HOSE 06MM</t>
  </si>
  <si>
    <t xml:space="preserve">GAS HOSE CONNECTOR</t>
  </si>
  <si>
    <t xml:space="preserve">SHORT SLEEVE TIG WELDING GLOVES 10-INCH</t>
  </si>
  <si>
    <t xml:space="preserve">CUTTING DISC 355MM (14")</t>
  </si>
  <si>
    <t xml:space="preserve">Total 14in TAC2213551: pakistanpowertools 990; ktools 980; imsons 790</t>
  </si>
  <si>
    <t xml:space="preserve">CUTTING DISC 125MM X 01MM</t>
  </si>
  <si>
    <t xml:space="preserve">powerhouseexpress Total 5in metal cutting TAC2211253 270</t>
  </si>
  <si>
    <t xml:space="preserve">CUTTING DISC 230MM X 03MM</t>
  </si>
  <si>
    <t xml:space="preserve">Total 9in TAC2212301HA: powerhouseexpress 590; pakistanpowertools 500</t>
  </si>
  <si>
    <t xml:space="preserve">BUFFING DISC 125MM</t>
  </si>
  <si>
    <t xml:space="preserve">BRASS PLATED CUP WIRE BRUSH 125MM</t>
  </si>
  <si>
    <t xml:space="preserve">Online nahi mila - dealer quote chahiye. 125mm brass cup brush</t>
  </si>
  <si>
    <t xml:space="preserve">GRINDER WHEEL ALUMINIUM OXIDE GRIT 24</t>
  </si>
  <si>
    <t xml:space="preserve">Norton / Industrial</t>
  </si>
  <si>
    <t xml:space="preserve">GRINDER WHEEL ALUMINIUM OXIDE GRIT 60</t>
  </si>
  <si>
    <t xml:space="preserve">GRINDER WHEEL SILICON CARBIDE</t>
  </si>
  <si>
    <t xml:space="preserve">COTTON ROPE 2MM</t>
  </si>
  <si>
    <t xml:space="preserve">Local / Generic</t>
  </si>
  <si>
    <t xml:space="preserve">HYDRAULIC HAND TROLLY 3T</t>
  </si>
  <si>
    <t xml:space="preserve">Industrial (VMAX)</t>
  </si>
  <si>
    <t xml:space="preserve">eqmachines 82,000; rafiqbrothers VMAX 80,000; OLX 85,000</t>
  </si>
  <si>
    <t xml:space="preserve">HYDRAULIC HAND TROLLY 5T</t>
  </si>
  <si>
    <t xml:space="preserve">rafiqbrothers VMAX 5T 200,000-225,000</t>
  </si>
  <si>
    <t xml:space="preserve">FLATE METAL SCRAPPER 50MM</t>
  </si>
  <si>
    <t xml:space="preserve">imsons.com.pk Tolsen 50mm wall scraper Rs 360</t>
  </si>
  <si>
    <t xml:space="preserve">WD 40 330ML (MULTI PURPOSE)</t>
  </si>
  <si>
    <t xml:space="preserve">WD-40</t>
  </si>
  <si>
    <t xml:space="preserve">naheed.pk 1,380; autohub.pk 1,299</t>
  </si>
  <si>
    <t xml:space="preserve">PU COATED SAFETY GLOVES LEVEL 5 CUT RESISTA</t>
  </si>
  <si>
    <t xml:space="preserve">ktools Total HPPE level 5 900; mjstraders Safeyear 600; hacsons 1,000</t>
  </si>
  <si>
    <t xml:space="preserve">NITRILE SAFETY GLOOVES OIL RESISTANT</t>
  </si>
  <si>
    <t xml:space="preserve">toolsmart Total nitrile oil XL TSP12105 590; ktools Total 390-480; Ingco 490</t>
  </si>
  <si>
    <t xml:space="preserve">PVC SAFETY GLOVES LARGE CHEMICAL RESISTANT</t>
  </si>
  <si>
    <t xml:space="preserve">toolsmart Total PVC TSP1801 550; ktools Total 460</t>
  </si>
  <si>
    <t xml:space="preserve">SAFETY HELMET YELLOW</t>
  </si>
  <si>
    <t xml:space="preserve">same (yellow)</t>
  </si>
  <si>
    <t xml:space="preserve">RED OXIDE POWDER</t>
  </si>
  <si>
    <t xml:space="preserve">SPRAY WHITE</t>
  </si>
  <si>
    <t xml:space="preserve">7CF</t>
  </si>
  <si>
    <t xml:space="preserve">7CF white 400ml 400-450 (autohousestore/7cfpak)</t>
  </si>
  <si>
    <t xml:space="preserve">SPRAY BLUE</t>
  </si>
  <si>
    <t xml:space="preserve">7CF sky blue 400ml 450</t>
  </si>
  <si>
    <t xml:space="preserve">SPRAY GREEN</t>
  </si>
  <si>
    <t xml:space="preserve">Mubah</t>
  </si>
  <si>
    <t xml:space="preserve">Mubah leaf green SP-512 400ml 400 (alt Brighto 450-650)</t>
  </si>
  <si>
    <t xml:space="preserve">TOILET CLEANING BRUSH</t>
  </si>
  <si>
    <t xml:space="preserve">Local</t>
  </si>
  <si>
    <t xml:space="preserve">alclean.pk round toilet brush Rs 203; mjstraders 8142 toilet brush Rs 203</t>
  </si>
  <si>
    <t xml:space="preserve">CUT PIECES OF CLOTHS FOR CLEANING</t>
  </si>
  <si>
    <t xml:space="preserve">nasirnsons.com cotton waste per kg Rs 160 (cleaning cloth/rags)</t>
  </si>
  <si>
    <t xml:space="preserve">ANCHOR BOLT 10X110</t>
  </si>
  <si>
    <t xml:space="preserve">SMT</t>
  </si>
  <si>
    <t xml:space="preserve">experttoolsworld.com SMT Rawl anchor bolt 10mm heavy duty Rs 65 (length confirm)</t>
  </si>
  <si>
    <t xml:space="preserve">ANCHOR BOLT 12X120</t>
  </si>
  <si>
    <t xml:space="preserve">Local / Fischer</t>
  </si>
  <si>
    <t xml:space="preserve">ANCHOR BOLT 12X160</t>
  </si>
  <si>
    <t xml:space="preserve">WELDING RODS 2.5MM E6013, NO 10 Zodian</t>
  </si>
  <si>
    <t xml:space="preserve">Zodian</t>
  </si>
  <si>
    <t xml:space="preserve">priceinfo.pk 2.5mm E6013 150pc (~2.5kg) 1,200-1,450; Pak Oxygen Zodian E6013 5kg 2,248 -- PACK SIZE confirm</t>
  </si>
  <si>
    <t xml:space="preserve">WELDING RODS 3.25MM E6013 NO 12</t>
  </si>
  <si>
    <t xml:space="preserve">estore.pakoxygen.com Zodian E6013 5kg box 2,248; priceinfo 3.2mm 5kg 2,350-2,500 -- PACK SIZE confirm</t>
  </si>
  <si>
    <t xml:space="preserve">WELDING RODS 2.5MM E7018 NO-10</t>
  </si>
  <si>
    <t xml:space="preserve">Fortrex</t>
  </si>
  <si>
    <t xml:space="preserve">estore.pakoxygen.com Fortrex E7018 5kg box 2,325; priceinfo E7018 2,300-2,450 -- PACK SIZE confirm</t>
  </si>
  <si>
    <t xml:space="preserve">SS WELDING RODS 309L-16 2.6MM NO.12</t>
  </si>
  <si>
    <t xml:space="preserve">Stainarc</t>
  </si>
  <si>
    <t xml:space="preserve">priceinfo.pk Stainarc stainless rod 4.0mm 1kg packet Rs 4,200-4,400 (309L 2.6mm exact nahi)</t>
  </si>
  <si>
    <t xml:space="preserve">SS WELDING RODS 316L-16 2.6MM NO.12</t>
  </si>
  <si>
    <t xml:space="preserve">priceinfo.pk Stainarc stainless rod 4.0mm 1kg packet Rs 4,200-4,400 (316L 2.6mm exact nahi)</t>
  </si>
  <si>
    <t xml:space="preserve">BLIND RIVETS 04MMX25MM (1000PCS)</t>
  </si>
  <si>
    <t xml:space="preserve">purchaser.com.pk Ingco rivet 4x10mm 300pc bottle Rs 794 (4x25 1000pc nahi mila)</t>
  </si>
  <si>
    <t xml:space="preserve">TAP SET 1" BSPF LEFT HAND</t>
  </si>
  <si>
    <t xml:space="preserve">TAP SET 1" BSPF RIGHT HAND</t>
  </si>
  <si>
    <t xml:space="preserve">TAP SET 1-1/4" BSPF LEFT HAND</t>
  </si>
  <si>
    <t xml:space="preserve">TAP SET 1-1/4" BSPF RIGHT HAND</t>
  </si>
  <si>
    <t xml:space="preserve">TAP SET M6</t>
  </si>
  <si>
    <t xml:space="preserve">TAP SET M8</t>
  </si>
  <si>
    <t xml:space="preserve">TAP SET M10</t>
  </si>
  <si>
    <t xml:space="preserve">TAP SET M12</t>
  </si>
  <si>
    <t xml:space="preserve">TAP SET M16</t>
  </si>
  <si>
    <t xml:space="preserve">TAP SET M18</t>
  </si>
  <si>
    <t xml:space="preserve">TAP SET M20</t>
  </si>
  <si>
    <t xml:space="preserve">TAP HANDLE</t>
  </si>
  <si>
    <t xml:space="preserve">INSIDE CALIPER 06"</t>
  </si>
  <si>
    <t xml:space="preserve">INSIDE CALIPER 20"</t>
  </si>
  <si>
    <t xml:space="preserve">OUTSIDE CALIPER 06"</t>
  </si>
  <si>
    <t xml:space="preserve">OUTSIDE CALIPER 20"</t>
  </si>
  <si>
    <t xml:space="preserve">RACHET TAP HANDLE</t>
  </si>
  <si>
    <t xml:space="preserve">MICROMETER 0 TO 25MM</t>
  </si>
  <si>
    <t xml:space="preserve">kamadi 3203-25A 5,500; imsons 4,815</t>
  </si>
  <si>
    <t xml:space="preserve">MICROMETER 25 TO 50MM</t>
  </si>
  <si>
    <t xml:space="preserve">imsons Insize 3203 series range 4,815-9,625 (50mm size)</t>
  </si>
  <si>
    <t xml:space="preserve">MICROMETER 50 TO 75MM</t>
  </si>
  <si>
    <t xml:space="preserve">imsons Insize 3203 series range (75mm size)</t>
  </si>
  <si>
    <t xml:space="preserve">MICROMETER 75 TO 100MM</t>
  </si>
  <si>
    <t xml:space="preserve">imsons Insize 3203-100A 6,875</t>
  </si>
  <si>
    <t xml:space="preserve">MICROMETER 100 TO 125MM</t>
  </si>
  <si>
    <t xml:space="preserve">imsons Insize 3203-125A 8,750</t>
  </si>
  <si>
    <t xml:space="preserve">NEEDLE FILE (5PCS SET)</t>
  </si>
  <si>
    <t xml:space="preserve">Total 6pc needle file THT91462: toolshop.pk 1,352; toolsmart.pk 1,190 (6pc, 5pc nahi)</t>
  </si>
  <si>
    <t xml:space="preserve">END MILL CUTTER SIZE 5MM</t>
  </si>
  <si>
    <t xml:space="preserve">Dormer C-series HSS-Co</t>
  </si>
  <si>
    <t xml:space="preserve">khmtools.com.ph Dormer C247 4mm 1,010 / 8mm 1,400 PHP scaled x4.95 (+30%)</t>
  </si>
  <si>
    <t xml:space="preserve">END MILL CUTTER SIZE 6MM</t>
  </si>
  <si>
    <t xml:space="preserve">END MILL CUTTER SIZE 8MM</t>
  </si>
  <si>
    <t xml:space="preserve">END MILL CUTTER SIZE 10MM</t>
  </si>
  <si>
    <t xml:space="preserve">END MILL CUTTER SIZE 12MM</t>
  </si>
  <si>
    <t xml:space="preserve">Generic HSS</t>
  </si>
  <si>
    <t xml:space="preserve">hallroadlahore.pk 12x12x53x110 4-flute HSS end mill Rs 2,900</t>
  </si>
  <si>
    <t xml:space="preserve">END MILL CUTTER SIZE 16MM</t>
  </si>
  <si>
    <t xml:space="preserve">END MILL CUTTER SIZE 18MM</t>
  </si>
  <si>
    <t xml:space="preserve">END MILL CUTTER SIZE 22MM</t>
  </si>
  <si>
    <t xml:space="preserve">END MILL CUTTER SIZE 25MM</t>
  </si>
  <si>
    <t xml:space="preserve">DIE NUT SIZE 5MM</t>
  </si>
  <si>
    <t xml:space="preserve">DIE NUT SIZE 6MM</t>
  </si>
  <si>
    <t xml:space="preserve">DIE NUT SIZE 8MM</t>
  </si>
  <si>
    <t xml:space="preserve">DIE NUT SIZE 10MM</t>
  </si>
  <si>
    <t xml:space="preserve">DIE NUT SIZE 12MM</t>
  </si>
  <si>
    <t xml:space="preserve">DIE NUT SIZE 16MM</t>
  </si>
  <si>
    <t xml:space="preserve">DIE NUT HANDLE SMALL</t>
  </si>
  <si>
    <t xml:space="preserve">DIE NUT HANDLE MEDIUM</t>
  </si>
  <si>
    <t xml:space="preserve">DIE NUT HANDLE LARGE</t>
  </si>
  <si>
    <t xml:space="preserve">3 JAW CHUCK 4"</t>
  </si>
  <si>
    <t xml:space="preserve">Vertex (Taiwan) / Bison</t>
  </si>
  <si>
    <t xml:space="preserve">BENCH VISE 08"</t>
  </si>
  <si>
    <t xml:space="preserve">toolsmart.pk Ingco bench vice 8in HBV088 Rs 31,300; purchaser 24,360</t>
  </si>
  <si>
    <t xml:space="preserve">BENCH VISE 12"</t>
  </si>
  <si>
    <t xml:space="preserve">Yato (heavy)</t>
  </si>
  <si>
    <t xml:space="preserve">Yato range est</t>
  </si>
  <si>
    <t xml:space="preserve">Online nahi mila - dealer quote chahiye. 12in vise</t>
  </si>
  <si>
    <t xml:space="preserve">HSS TOOL 08X08X200MM</t>
  </si>
  <si>
    <t xml:space="preserve">Dormer HSS toolbit - PK listing n/a, est ~1.8x generic</t>
  </si>
  <si>
    <t xml:space="preserve">HSS TOOL 10MMX10MMX200MM</t>
  </si>
  <si>
    <t xml:space="preserve">HSS TOOL 12MMX12MMX200MM</t>
  </si>
  <si>
    <t xml:space="preserve">HSS TOOL 16MMX16MMX200MM</t>
  </si>
  <si>
    <t xml:space="preserve">HSS PARTING OFF TOOL 1/8" X 3/4" X 8"</t>
  </si>
  <si>
    <t xml:space="preserve">HYDRAULIC JACK 3 TON</t>
  </si>
  <si>
    <t xml:space="preserve">Ronix</t>
  </si>
  <si>
    <t xml:space="preserve">ingcomart.com.pk Ronix RH-4903 5T bottle jack Rs 5,360-5,950 (3T nahi mila, 5T diya)</t>
  </si>
  <si>
    <t xml:space="preserve">HYDRAULIC JACK 5 TON</t>
  </si>
  <si>
    <t xml:space="preserve">ingcomart.com.pk Ronix RH-4903 5T bottle jack Rs 5,360-5,950</t>
  </si>
  <si>
    <t xml:space="preserve">CORDLESS SMALL ANGLE GRINDER 125MM EQUIVAL</t>
  </si>
  <si>
    <t xml:space="preserve">ktools GWS 180-LI 40,000 (solo, discontinued); powerhouseexpress 38,340</t>
  </si>
  <si>
    <t xml:space="preserve">WELDING ELCTRODE HOLDER 1000 AMP</t>
  </si>
  <si>
    <t xml:space="preserve">powerhouseexpress Total TWAH8006 800A holder 1,610-1,740 -- SPEC: 800A (1000A nahi mila)</t>
  </si>
  <si>
    <t xml:space="preserve">EARTH CLAMP 1000 AMP</t>
  </si>
  <si>
    <t xml:space="preserve">aliweldinghouse.pk earth clamp 500A Rs 500 (1000A listed nahi)</t>
  </si>
  <si>
    <t xml:space="preserve">WELDING CABLE 1000 AMPERE</t>
  </si>
  <si>
    <t xml:space="preserve">Industrial (copper)</t>
  </si>
  <si>
    <t xml:space="preserve">enontraders 95mm copper flexible ~3,600/m; thetoolsstore welding cable 580/m (size n/a)</t>
  </si>
  <si>
    <t xml:space="preserve">Online nahi mila - dealer quote chahiye. welding cable</t>
  </si>
  <si>
    <t xml:space="preserve">CABLE LUGS 1000 AMPERE</t>
  </si>
  <si>
    <t xml:space="preserve">fiaz.com.pk 95mm copper lug 140; enontraders.com 95mm thimble 150</t>
  </si>
  <si>
    <t xml:space="preserve">FULL BODY HARNESS BELT</t>
  </si>
  <si>
    <t xml:space="preserve">Toho (Taiwan)</t>
  </si>
  <si>
    <t xml:space="preserve">mjstraders Toho MH106 3D 7,800</t>
  </si>
  <si>
    <t xml:space="preserve">ANGLE GRINDER 9" BOSCH PRO STONE BONDED CU</t>
  </si>
  <si>
    <t xml:space="preserve">kamadi GWS 2200-230H 43,200; ktools 44,000; imartpk 36,570</t>
  </si>
  <si>
    <t xml:space="preserve">DRILL BIT 4MM</t>
  </si>
  <si>
    <t xml:space="preserve">toolsmart.pk Dormer A002 1-10mm from 900</t>
  </si>
  <si>
    <t xml:space="preserve">Online nahi mila - dealer quote chahiye. single 4mm</t>
  </si>
  <si>
    <t xml:space="preserve">TOTAL</t>
  </si>
  <si>
    <t xml:space="preserve">Summary - Quote PR-217 &amp; PR-228</t>
  </si>
  <si>
    <t xml:space="preserve">Total line items</t>
  </si>
  <si>
    <t xml:space="preserve">LOSS items (quoted &lt; lowest buying)</t>
  </si>
  <si>
    <t xml:space="preserve">THIN / RISK items (&lt;10% over high buying)</t>
  </si>
  <si>
    <t xml:space="preserve">OK items</t>
  </si>
  <si>
    <t xml:space="preserve">OVERPRICED? items (&gt;80% over high buying)</t>
  </si>
  <si>
    <t xml:space="preserve">Items where brand must change</t>
  </si>
  <si>
    <t xml:space="preserve">Quoted total (PKR)</t>
  </si>
  <si>
    <t xml:space="preserve">Estimated cost at HIGH buying (PKR)</t>
  </si>
  <si>
    <t xml:space="preserve">Gross margin on quote (PKR)</t>
  </si>
  <si>
    <t xml:space="preserve">Gross margin %</t>
  </si>
  <si>
    <t xml:space="preserve">Loss on LOSS/THIN lines (PKR, at high buying)</t>
  </si>
  <si>
    <t xml:space="preserve">Revised quote total (PKR)</t>
  </si>
  <si>
    <t xml:space="preserve">Revised margin %</t>
  </si>
  <si>
    <t xml:space="preserve">V items (exact online listing)</t>
  </si>
  <si>
    <t xml:space="preserve">S items (listed, spec/pack farq)</t>
  </si>
  <si>
    <t xml:space="preserve">N items (online nahi - dealer quote)</t>
  </si>
  <si>
    <t xml:space="preserve">Sources (checked Oct 2026 - prices change, confirm before PO)</t>
  </si>
  <si>
    <t xml:space="preserve">toolsmart.pk - Licota collection</t>
  </si>
  <si>
    <t xml:space="preserve">https://www.toolsmart.pk/collections/licota</t>
  </si>
  <si>
    <t xml:space="preserve">toolsmart.pk - Licota 18in pipe wrench Rs 9,620</t>
  </si>
  <si>
    <t xml:space="preserve">https://www.toolsmart.pk/products/licota-18-heavy-duty-ridgid-type-pipe-wrench-cr-mo</t>
  </si>
  <si>
    <t xml:space="preserve">toolsmart.pk - Licota 9pc extra long hex</t>
  </si>
  <si>
    <t xml:space="preserve">https://www.toolsmart.pk/products/licota-9pcs-extra-long-type-hex-key-set</t>
  </si>
  <si>
    <t xml:space="preserve">toolsmart.pk - Licota 120pc socket set</t>
  </si>
  <si>
    <t xml:space="preserve">https://www.toolsmart.pk/products/licota-120pcs-1-4-3-8-1-2-dr-socket-set</t>
  </si>
  <si>
    <t xml:space="preserve">toolsmart.pk - grease guns (Licota 400cc Rs 7,760)</t>
  </si>
  <si>
    <t xml:space="preserve">https://www.toolsmart.pk/collections/all-tools/grease-gun</t>
  </si>
  <si>
    <t xml:space="preserve">kamadi.pk - Bosch GDS 18V-1000</t>
  </si>
  <si>
    <t xml:space="preserve">https://kamadi.pk/products/gds-18v-1000-bosch-cordless-impact-wrench-650n-m-18v</t>
  </si>
  <si>
    <t xml:space="preserve">kamadi.pk - Bosch GDX 180-Li</t>
  </si>
  <si>
    <t xml:space="preserve">https://kamadi.pk/products/gdx-180-li-bosch-cordless-impact-driver-wrench-180n-m-18v</t>
  </si>
  <si>
    <t xml:space="preserve">kamadi.pk - Bosch GWS 2200-230 H</t>
  </si>
  <si>
    <t xml:space="preserve">https://kamadi.pk/products/bosch-gws-2200-230-h-angle-grinder</t>
  </si>
  <si>
    <t xml:space="preserve">kamadi.pk - Insize 1205-300S</t>
  </si>
  <si>
    <t xml:space="preserve">https://kamadi.pk/products/insize-1205-300s-vernier-caliper-0-300mm</t>
  </si>
  <si>
    <t xml:space="preserve">kamadi.pk - Insize 1108-300</t>
  </si>
  <si>
    <t xml:space="preserve">https://kamadi.pk/products/1108-300-insize-digital-4-way-vernier-caliper-0-300mm</t>
  </si>
  <si>
    <t xml:space="preserve">kamadi.pk - Insize 3109-25A micrometer</t>
  </si>
  <si>
    <t xml:space="preserve">https://kamadi.pk/products/insize-3109-25a-digital-outside-micrometer-0-25mm</t>
  </si>
  <si>
    <t xml:space="preserve">ktools.pk - Bosch GDS 18V-1000 solo</t>
  </si>
  <si>
    <t xml:space="preserve">https://www.ktools.pk/products/bosch-gds-18v-1000-cordless-impact-wrench</t>
  </si>
  <si>
    <t xml:space="preserve">ktools.pk - Bosch GDX 180-Li</t>
  </si>
  <si>
    <t xml:space="preserve">https://www.ktools.pk/products/bosch-cordless-impact-wrench-gdx-180-li</t>
  </si>
  <si>
    <t xml:space="preserve">ktools.pk - Bosch GBH 180-Li</t>
  </si>
  <si>
    <t xml:space="preserve">https://www.ktools.pk/products/bosch-cordless-rotary-hammer-with-sds-plus-gbh-180-li</t>
  </si>
  <si>
    <t xml:space="preserve">ktools.pk - Bosch GSB 18V-150C</t>
  </si>
  <si>
    <t xml:space="preserve">https://www.ktools.pk/products/bosch-cordless-impact-drill-combi-gsb-18v-150-c</t>
  </si>
  <si>
    <t xml:space="preserve">ktools.pk - Bosch GWS 2200-230H</t>
  </si>
  <si>
    <t xml:space="preserve">https://www.ktools.pk/products/bosch-gws-2200-230h-angle-grinder-230mm-2200w</t>
  </si>
  <si>
    <t xml:space="preserve">amjadhardware.com - Insize 1108-300</t>
  </si>
  <si>
    <t xml:space="preserve">https://amjadhardware.com/product/1108-300-digital-vernier-caliper-0-300mm-0-12-insize/</t>
  </si>
  <si>
    <t xml:space="preserve">purchaser.com.pk - Insize 1205-200S</t>
  </si>
  <si>
    <t xml:space="preserve">https://purchaser.com.pk/insize-4-way-vernier-caliper-1205-200s-en/</t>
  </si>
  <si>
    <t xml:space="preserve">powerhouseexpress.com.pk - grinders</t>
  </si>
  <si>
    <t xml:space="preserve">https://powerhouseexpress.com.pk/collections/grinders</t>
  </si>
  <si>
    <t xml:space="preserve">rafiqbrothers.com - hand pallet trucks</t>
  </si>
  <si>
    <t xml:space="preserve">https://www.rafiqbrothers.com/en/category/hand-pallet-trucks/</t>
  </si>
  <si>
    <t xml:space="preserve">eqmachines.com - hand pallet truck</t>
  </si>
  <si>
    <t xml:space="preserve">https://eqmachines.com/products/hand-pallet-truck-pakistan</t>
  </si>
  <si>
    <t xml:space="preserve">pakwheels.com - bottle jacks</t>
  </si>
  <si>
    <t xml:space="preserve">https://www.pakwheels.com/accessories-spare-parts/car-jack/213239</t>
  </si>
  <si>
    <t xml:space="preserve">ingcotool.pk - Total 8in bench vise</t>
  </si>
  <si>
    <t xml:space="preserve">https://ingcotool.pk/product/total-swivel-base-bench-vise-with-anvil-6-150mm-tht6166/</t>
  </si>
  <si>
    <t xml:space="preserve">naheed.pk - WD-40 330ml Rs 1,380</t>
  </si>
  <si>
    <t xml:space="preserve">https://www.naheed.pk/wd-40-330ml</t>
  </si>
  <si>
    <t xml:space="preserve">autohub.pk - WD-40 330ml Rs 1,299</t>
  </si>
  <si>
    <t xml:space="preserve">https://autohub.pk/products/wd-40-330ml</t>
  </si>
  <si>
    <t xml:space="preserve">imartpk.com - Bosch GWS 22-230 H</t>
  </si>
  <si>
    <t xml:space="preserve">https://imartpk.com/products/gws-22-230-h-professional</t>
  </si>
  <si>
    <t xml:space="preserve">goldentools.ae - Licota 3-jaw puller (UAE ref)</t>
  </si>
  <si>
    <t xml:space="preserve">https://www.goldentools.ae/gttecom/singleitemmob/LICOTA/Bearing-and-Seal-Tools/?brcd=4712834507742</t>
  </si>
  <si>
    <t xml:space="preserve">amazon.ae - Licota 6in 3-jaw puller (UAE ref)</t>
  </si>
  <si>
    <t xml:space="preserve">https://www.amazon.ae/LICOTA-GEAR-PULLER-ATB-1002C-AT-2102A/dp/B08CTD3842</t>
  </si>
  <si>
    <t xml:space="preserve">goldentools.ae - Licota 12mm hex key (UAE ref)</t>
  </si>
  <si>
    <t xml:space="preserve">https://www.goldentools.ae/item/4712818539608</t>
  </si>
  <si>
    <t xml:space="preserve">goldpeaktools.com.ph - Licota AWX-2603GN 7-drawer (ref)</t>
  </si>
  <si>
    <t xml:space="preserve">https://shop.goldpeaktools.com.ph/products/licota-awx-2603gn-tool-cabinet-carriage-7-drawers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</si>
</sst>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%"/>
    <numFmt numFmtId="166" formatCode="#,##0;\(#,##0\);\-"/>
    <numFmt numFmtId="167" formatCode="0%;\-0%;\-"/>
    <numFmt numFmtId="168" formatCode="#,##0"/>
    <numFmt numFmtId="169" formatCode="0.0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sz val="9"/>
      <color rgb="FF0000FF"/>
      <name val="Arial"/>
      <family val="0"/>
      <charset val="1"/>
    </font>
    <font>
      <b val="true"/>
      <sz val="13"/>
      <name val="Arial"/>
      <family val="0"/>
      <charset val="1"/>
    </font>
    <font>
      <sz val="11"/>
      <name val="Arial"/>
      <family val="0"/>
      <charset val="1"/>
    </font>
    <font>
      <u val="single"/>
      <sz val="11"/>
      <color rgb="FF0563C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B71C1C"/>
        <bgColor rgb="FF99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9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3">
    <dxf>
      <fill>
        <patternFill patternType="solid">
          <fgColor rgb="FFB71C1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BDD7EE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FE699"/>
          <bgColor rgb="FF000000"/>
        </patternFill>
      </fill>
    </dxf>
    <dxf>
      <fill>
        <patternFill>
          <bgColor rgb="FFF8CBAD"/>
        </patternFill>
      </fill>
    </dxf>
    <dxf>
      <fill>
        <patternFill>
          <bgColor rgb="FFFFE699"/>
        </patternFill>
      </fill>
    </dxf>
    <dxf>
      <fill>
        <patternFill>
          <bgColor rgb="FFBDD7EE"/>
        </patternFill>
      </fill>
    </dxf>
    <dxf>
      <fill>
        <patternFill>
          <bgColor rgb="FFC6EF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B71C1C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www.toolsmart.pk/collections/licota" TargetMode="External"/><Relationship Id="rId2" Type="http://schemas.openxmlformats.org/officeDocument/2006/relationships/hyperlink" Target="https://www.toolsmart.pk/products/licota-18-heavy-duty-ridgid-type-pipe-wrench-cr-mo" TargetMode="External"/><Relationship Id="rId3" Type="http://schemas.openxmlformats.org/officeDocument/2006/relationships/hyperlink" Target="https://www.toolsmart.pk/products/licota-9pcs-extra-long-type-hex-key-set" TargetMode="External"/><Relationship Id="rId4" Type="http://schemas.openxmlformats.org/officeDocument/2006/relationships/hyperlink" Target="https://www.toolsmart.pk/products/licota-120pcs-1-4-3-8-1-2-dr-socket-set" TargetMode="External"/><Relationship Id="rId5" Type="http://schemas.openxmlformats.org/officeDocument/2006/relationships/hyperlink" Target="https://www.toolsmart.pk/collections/all-tools/grease-gun" TargetMode="External"/><Relationship Id="rId6" Type="http://schemas.openxmlformats.org/officeDocument/2006/relationships/hyperlink" Target="https://kamadi.pk/products/gds-18v-1000-bosch-cordless-impact-wrench-650n-m-18v" TargetMode="External"/><Relationship Id="rId7" Type="http://schemas.openxmlformats.org/officeDocument/2006/relationships/hyperlink" Target="https://kamadi.pk/products/gdx-180-li-bosch-cordless-impact-driver-wrench-180n-m-18v" TargetMode="External"/><Relationship Id="rId8" Type="http://schemas.openxmlformats.org/officeDocument/2006/relationships/hyperlink" Target="https://kamadi.pk/products/bosch-gws-2200-230-h-angle-grinder" TargetMode="External"/><Relationship Id="rId9" Type="http://schemas.openxmlformats.org/officeDocument/2006/relationships/hyperlink" Target="https://kamadi.pk/products/insize-1205-300s-vernier-caliper-0-300mm" TargetMode="External"/><Relationship Id="rId10" Type="http://schemas.openxmlformats.org/officeDocument/2006/relationships/hyperlink" Target="https://kamadi.pk/products/1108-300-insize-digital-4-way-vernier-caliper-0-300mm" TargetMode="External"/><Relationship Id="rId11" Type="http://schemas.openxmlformats.org/officeDocument/2006/relationships/hyperlink" Target="https://kamadi.pk/products/insize-3109-25a-digital-outside-micrometer-0-25mm" TargetMode="External"/><Relationship Id="rId12" Type="http://schemas.openxmlformats.org/officeDocument/2006/relationships/hyperlink" Target="https://www.ktools.pk/products/bosch-gds-18v-1000-cordless-impact-wrench" TargetMode="External"/><Relationship Id="rId13" Type="http://schemas.openxmlformats.org/officeDocument/2006/relationships/hyperlink" Target="https://www.ktools.pk/products/bosch-cordless-impact-wrench-gdx-180-li" TargetMode="External"/><Relationship Id="rId14" Type="http://schemas.openxmlformats.org/officeDocument/2006/relationships/hyperlink" Target="https://www.ktools.pk/products/bosch-cordless-rotary-hammer-with-sds-plus-gbh-180-li" TargetMode="External"/><Relationship Id="rId15" Type="http://schemas.openxmlformats.org/officeDocument/2006/relationships/hyperlink" Target="https://www.ktools.pk/products/bosch-cordless-impact-drill-combi-gsb-18v-150-c" TargetMode="External"/><Relationship Id="rId16" Type="http://schemas.openxmlformats.org/officeDocument/2006/relationships/hyperlink" Target="https://www.ktools.pk/products/bosch-gws-2200-230h-angle-grinder-230mm-2200w" TargetMode="External"/><Relationship Id="rId17" Type="http://schemas.openxmlformats.org/officeDocument/2006/relationships/hyperlink" Target="https://amjadhardware.com/product/1108-300-digital-vernier-caliper-0-300mm-0-12-insize/" TargetMode="External"/><Relationship Id="rId18" Type="http://schemas.openxmlformats.org/officeDocument/2006/relationships/hyperlink" Target="https://purchaser.com.pk/insize-4-way-vernier-caliper-1205-200s-en/" TargetMode="External"/><Relationship Id="rId19" Type="http://schemas.openxmlformats.org/officeDocument/2006/relationships/hyperlink" Target="https://powerhouseexpress.com.pk/collections/grinders" TargetMode="External"/><Relationship Id="rId20" Type="http://schemas.openxmlformats.org/officeDocument/2006/relationships/hyperlink" Target="https://www.rafiqbrothers.com/en/category/hand-pallet-trucks/" TargetMode="External"/><Relationship Id="rId21" Type="http://schemas.openxmlformats.org/officeDocument/2006/relationships/hyperlink" Target="https://eqmachines.com/products/hand-pallet-truck-pakistan" TargetMode="External"/><Relationship Id="rId22" Type="http://schemas.openxmlformats.org/officeDocument/2006/relationships/hyperlink" Target="https://www.pakwheels.com/accessories-spare-parts/car-jack/213239" TargetMode="External"/><Relationship Id="rId23" Type="http://schemas.openxmlformats.org/officeDocument/2006/relationships/hyperlink" Target="https://ingcotool.pk/product/total-swivel-base-bench-vise-with-anvil-6-150mm-tht6166/" TargetMode="External"/><Relationship Id="rId24" Type="http://schemas.openxmlformats.org/officeDocument/2006/relationships/hyperlink" Target="https://www.naheed.pk/wd-40-330ml" TargetMode="External"/><Relationship Id="rId25" Type="http://schemas.openxmlformats.org/officeDocument/2006/relationships/hyperlink" Target="https://autohub.pk/products/wd-40-330ml" TargetMode="External"/><Relationship Id="rId26" Type="http://schemas.openxmlformats.org/officeDocument/2006/relationships/hyperlink" Target="https://imartpk.com/products/gws-22-230-h-professional" TargetMode="External"/><Relationship Id="rId27" Type="http://schemas.openxmlformats.org/officeDocument/2006/relationships/hyperlink" Target="https://www.goldentools.ae/gttecom/singleitemmob/LICOTA/Bearing-and-Seal-Tools/?brcd=4712834507742" TargetMode="External"/><Relationship Id="rId28" Type="http://schemas.openxmlformats.org/officeDocument/2006/relationships/hyperlink" Target="https://www.amazon.ae/LICOTA-GEAR-PULLER-ATB-1002C-AT-2102A/dp/B08CTD3842" TargetMode="External"/><Relationship Id="rId29" Type="http://schemas.openxmlformats.org/officeDocument/2006/relationships/hyperlink" Target="https://www.goldentools.ae/item/4712818539608" TargetMode="External"/><Relationship Id="rId30" Type="http://schemas.openxmlformats.org/officeDocument/2006/relationships/hyperlink" Target="https://shop.goldpeaktools.com.ph/products/licota-awx-2603gn-tool-cabinet-carriage-7-drawers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2"/>
    <col collapsed="false" customWidth="true" hidden="false" outlineLevel="0" max="3" min="3" style="0" width="14"/>
    <col collapsed="false" customWidth="true" hidden="false" outlineLevel="0" max="4" min="4" style="0" width="6"/>
    <col collapsed="false" customWidth="true" hidden="false" outlineLevel="0" max="5" min="5" style="0" width="12"/>
    <col collapsed="false" customWidth="true" hidden="false" outlineLevel="0" max="6" min="6" style="0" width="26"/>
    <col collapsed="false" customWidth="true" hidden="false" outlineLevel="0" max="8" min="7" style="0" width="12"/>
    <col collapsed="false" customWidth="true" hidden="false" outlineLevel="0" max="9" min="9" style="0" width="10"/>
    <col collapsed="false" customWidth="true" hidden="false" outlineLevel="0" max="11" min="10" style="0" width="13"/>
    <col collapsed="false" customWidth="true" hidden="false" outlineLevel="0" max="14" min="12" style="0" width="14"/>
    <col collapsed="false" customWidth="true" hidden="false" outlineLevel="0" max="15" min="15" style="0" width="9"/>
    <col collapsed="false" customWidth="true" hidden="false" outlineLevel="0" max="16" min="16" style="0" width="8"/>
    <col collapsed="false" customWidth="true" hidden="false" outlineLevel="0" max="17" min="17" style="0" width="40"/>
    <col collapsed="false" customWidth="true" hidden="false" outlineLevel="0" max="18" min="18" style="0" width="36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3" t="s">
        <v>1</v>
      </c>
      <c r="E3" s="4" t="n">
        <v>0.15</v>
      </c>
      <c r="F3" s="2" t="s">
        <v>2</v>
      </c>
    </row>
    <row r="5" customFormat="false" ht="31.5" hidden="false" customHeight="true" outlineLevel="0" collapsed="false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5" t="s">
        <v>10</v>
      </c>
      <c r="I5" s="5" t="s">
        <v>11</v>
      </c>
      <c r="J5" s="5" t="s">
        <v>12</v>
      </c>
      <c r="K5" s="5" t="s">
        <v>13</v>
      </c>
      <c r="L5" s="5" t="s">
        <v>14</v>
      </c>
      <c r="M5" s="5" t="s">
        <v>15</v>
      </c>
      <c r="N5" s="5" t="s">
        <v>16</v>
      </c>
      <c r="O5" s="5" t="s">
        <v>17</v>
      </c>
      <c r="P5" s="5" t="s">
        <v>18</v>
      </c>
      <c r="Q5" s="5" t="s">
        <v>19</v>
      </c>
      <c r="R5" s="5" t="s">
        <v>20</v>
      </c>
    </row>
    <row r="6" customFormat="false" ht="22.35" hidden="false" customHeight="false" outlineLevel="0" collapsed="false">
      <c r="A6" s="6" t="n">
        <v>1</v>
      </c>
      <c r="B6" s="7" t="s">
        <v>21</v>
      </c>
      <c r="C6" s="6" t="s">
        <v>22</v>
      </c>
      <c r="D6" s="6" t="n">
        <v>30</v>
      </c>
      <c r="E6" s="8" t="n">
        <v>325</v>
      </c>
      <c r="F6" s="7" t="s">
        <v>23</v>
      </c>
      <c r="G6" s="9" t="n">
        <v>280</v>
      </c>
      <c r="H6" s="9" t="n">
        <v>280</v>
      </c>
      <c r="I6" s="10" t="n">
        <f aca="false">IF(E6=0,0,(E6-H6)/E6)</f>
        <v>0.138461538461538</v>
      </c>
      <c r="J6" s="6" t="str">
        <f aca="false">IF(E6&lt;G6,"LOSS",IF(E6&lt;H6*1.1,"THIN / RISK",IF(E6&gt;H6*1.8,"OVERPRICED?","OK")))</f>
        <v>OK</v>
      </c>
      <c r="K6" s="8" t="n">
        <f aca="false">IF(J6="OVERPRICED?",ROUND(H6*1.35,-1),MAX(E6,ROUND(H6*(1+$E$3),-1)))</f>
        <v>325</v>
      </c>
      <c r="L6" s="8" t="n">
        <f aca="false">D6*E6</f>
        <v>9750</v>
      </c>
      <c r="M6" s="8" t="n">
        <f aca="false">D6*K6</f>
        <v>9750</v>
      </c>
      <c r="N6" s="8" t="n">
        <f aca="false">D6*H6</f>
        <v>8400</v>
      </c>
      <c r="O6" s="6" t="str">
        <f aca="false">IF(ISNUMBER(SEARCH(C6,F6)),"","YES")</f>
        <v>YES</v>
      </c>
      <c r="P6" s="6" t="s">
        <v>24</v>
      </c>
      <c r="Q6" s="7" t="s">
        <v>25</v>
      </c>
      <c r="R6" s="7" t="s">
        <v>26</v>
      </c>
    </row>
    <row r="7" customFormat="false" ht="15" hidden="false" customHeight="false" outlineLevel="0" collapsed="false">
      <c r="A7" s="6" t="n">
        <v>2</v>
      </c>
      <c r="B7" s="7" t="s">
        <v>27</v>
      </c>
      <c r="C7" s="6" t="s">
        <v>28</v>
      </c>
      <c r="D7" s="6" t="n">
        <v>2</v>
      </c>
      <c r="E7" s="8" t="n">
        <v>455</v>
      </c>
      <c r="F7" s="7" t="s">
        <v>29</v>
      </c>
      <c r="G7" s="9" t="n">
        <v>300</v>
      </c>
      <c r="H7" s="9" t="n">
        <v>450</v>
      </c>
      <c r="I7" s="10" t="n">
        <f aca="false">IF(E7=0,0,(E7-H7)/E7)</f>
        <v>0.010989010989011</v>
      </c>
      <c r="J7" s="6" t="str">
        <f aca="false">IF(E7&lt;G7,"LOSS",IF(E7&lt;H7*1.1,"THIN / RISK",IF(E7&gt;H7*1.8,"OVERPRICED?","OK")))</f>
        <v>THIN / RISK</v>
      </c>
      <c r="K7" s="8" t="n">
        <f aca="false">IF(J7="OVERPRICED?",ROUND(H7*1.35,-1),MAX(E7,ROUND(H7*(1+$E$3),-1)))</f>
        <v>520</v>
      </c>
      <c r="L7" s="8" t="n">
        <f aca="false">D7*E7</f>
        <v>910</v>
      </c>
      <c r="M7" s="8" t="n">
        <f aca="false">D7*K7</f>
        <v>1040</v>
      </c>
      <c r="N7" s="8" t="n">
        <f aca="false">D7*H7</f>
        <v>900</v>
      </c>
      <c r="O7" s="6" t="str">
        <f aca="false">IF(ISNUMBER(SEARCH(C7,F7)),"","YES")</f>
        <v>YES</v>
      </c>
      <c r="P7" s="6" t="s">
        <v>30</v>
      </c>
      <c r="Q7" s="7" t="s">
        <v>31</v>
      </c>
      <c r="R7" s="7" t="s">
        <v>32</v>
      </c>
    </row>
    <row r="8" customFormat="false" ht="22.35" hidden="false" customHeight="false" outlineLevel="0" collapsed="false">
      <c r="A8" s="6" t="n">
        <v>3</v>
      </c>
      <c r="B8" s="7" t="s">
        <v>33</v>
      </c>
      <c r="C8" s="6" t="s">
        <v>28</v>
      </c>
      <c r="D8" s="6" t="n">
        <v>2</v>
      </c>
      <c r="E8" s="8" t="n">
        <v>58500</v>
      </c>
      <c r="F8" s="7" t="s">
        <v>34</v>
      </c>
      <c r="G8" s="9" t="n">
        <v>45000</v>
      </c>
      <c r="H8" s="9" t="n">
        <v>75000</v>
      </c>
      <c r="I8" s="10" t="n">
        <f aca="false">IF(E8=0,0,(E8-H8)/E8)</f>
        <v>-0.282051282051282</v>
      </c>
      <c r="J8" s="6" t="str">
        <f aca="false">IF(E8&lt;G8,"LOSS",IF(E8&lt;H8*1.1,"THIN / RISK",IF(E8&gt;H8*1.8,"OVERPRICED?","OK")))</f>
        <v>THIN / RISK</v>
      </c>
      <c r="K8" s="8" t="n">
        <f aca="false">IF(J8="OVERPRICED?",ROUND(H8*1.35,-1),MAX(E8,ROUND(H8*(1+$E$3),-1)))</f>
        <v>86250</v>
      </c>
      <c r="L8" s="8" t="n">
        <f aca="false">D8*E8</f>
        <v>117000</v>
      </c>
      <c r="M8" s="8" t="n">
        <f aca="false">D8*K8</f>
        <v>172500</v>
      </c>
      <c r="N8" s="8" t="n">
        <f aca="false">D8*H8</f>
        <v>150000</v>
      </c>
      <c r="O8" s="6" t="str">
        <f aca="false">IF(ISNUMBER(SEARCH(C8,F8)),"","YES")</f>
        <v>YES</v>
      </c>
      <c r="P8" s="6" t="s">
        <v>30</v>
      </c>
      <c r="Q8" s="7" t="s">
        <v>35</v>
      </c>
      <c r="R8" s="7" t="s">
        <v>36</v>
      </c>
    </row>
    <row r="9" customFormat="false" ht="22.35" hidden="false" customHeight="false" outlineLevel="0" collapsed="false">
      <c r="A9" s="6" t="n">
        <v>4</v>
      </c>
      <c r="B9" s="7" t="s">
        <v>37</v>
      </c>
      <c r="C9" s="6" t="s">
        <v>28</v>
      </c>
      <c r="D9" s="6" t="n">
        <v>50</v>
      </c>
      <c r="E9" s="8" t="n">
        <v>715</v>
      </c>
      <c r="F9" s="7" t="s">
        <v>38</v>
      </c>
      <c r="G9" s="9" t="n">
        <v>1500</v>
      </c>
      <c r="H9" s="9" t="n">
        <v>2500</v>
      </c>
      <c r="I9" s="10" t="n">
        <f aca="false">IF(E9=0,0,(E9-H9)/E9)</f>
        <v>-2.4965034965035</v>
      </c>
      <c r="J9" s="6" t="str">
        <f aca="false">IF(E9&lt;G9,"LOSS",IF(E9&lt;H9*1.1,"THIN / RISK",IF(E9&gt;H9*1.8,"OVERPRICED?","OK")))</f>
        <v>LOSS</v>
      </c>
      <c r="K9" s="8" t="n">
        <f aca="false">IF(J9="OVERPRICED?",ROUND(H9*1.35,-1),MAX(E9,ROUND(H9*(1+$E$3),-1)))</f>
        <v>2880</v>
      </c>
      <c r="L9" s="8" t="n">
        <f aca="false">D9*E9</f>
        <v>35750</v>
      </c>
      <c r="M9" s="8" t="n">
        <f aca="false">D9*K9</f>
        <v>144000</v>
      </c>
      <c r="N9" s="8" t="n">
        <f aca="false">D9*H9</f>
        <v>125000</v>
      </c>
      <c r="O9" s="6" t="str">
        <f aca="false">IF(ISNUMBER(SEARCH(C9,F9)),"","YES")</f>
        <v>YES</v>
      </c>
      <c r="P9" s="6" t="s">
        <v>30</v>
      </c>
      <c r="Q9" s="7" t="s">
        <v>39</v>
      </c>
      <c r="R9" s="7" t="s">
        <v>40</v>
      </c>
    </row>
    <row r="10" customFormat="false" ht="22.35" hidden="false" customHeight="false" outlineLevel="0" collapsed="false">
      <c r="A10" s="6" t="n">
        <v>5</v>
      </c>
      <c r="B10" s="7" t="s">
        <v>41</v>
      </c>
      <c r="C10" s="6" t="s">
        <v>28</v>
      </c>
      <c r="D10" s="6" t="n">
        <v>2</v>
      </c>
      <c r="E10" s="8" t="n">
        <v>41600</v>
      </c>
      <c r="F10" s="7" t="s">
        <v>34</v>
      </c>
      <c r="G10" s="9" t="n">
        <v>32000</v>
      </c>
      <c r="H10" s="9" t="n">
        <v>55000</v>
      </c>
      <c r="I10" s="10" t="n">
        <f aca="false">IF(E10=0,0,(E10-H10)/E10)</f>
        <v>-0.322115384615385</v>
      </c>
      <c r="J10" s="6" t="str">
        <f aca="false">IF(E10&lt;G10,"LOSS",IF(E10&lt;H10*1.1,"THIN / RISK",IF(E10&gt;H10*1.8,"OVERPRICED?","OK")))</f>
        <v>THIN / RISK</v>
      </c>
      <c r="K10" s="8" t="n">
        <f aca="false">IF(J10="OVERPRICED?",ROUND(H10*1.35,-1),MAX(E10,ROUND(H10*(1+$E$3),-1)))</f>
        <v>63250</v>
      </c>
      <c r="L10" s="8" t="n">
        <f aca="false">D10*E10</f>
        <v>83200</v>
      </c>
      <c r="M10" s="8" t="n">
        <f aca="false">D10*K10</f>
        <v>126500</v>
      </c>
      <c r="N10" s="8" t="n">
        <f aca="false">D10*H10</f>
        <v>110000</v>
      </c>
      <c r="O10" s="6" t="str">
        <f aca="false">IF(ISNUMBER(SEARCH(C10,F10)),"","YES")</f>
        <v>YES</v>
      </c>
      <c r="P10" s="6" t="s">
        <v>30</v>
      </c>
      <c r="Q10" s="7" t="s">
        <v>35</v>
      </c>
      <c r="R10" s="7" t="s">
        <v>36</v>
      </c>
    </row>
    <row r="11" customFormat="false" ht="22.35" hidden="false" customHeight="false" outlineLevel="0" collapsed="false">
      <c r="A11" s="6" t="n">
        <v>6</v>
      </c>
      <c r="B11" s="7" t="s">
        <v>42</v>
      </c>
      <c r="C11" s="6" t="s">
        <v>22</v>
      </c>
      <c r="D11" s="6" t="n">
        <v>6</v>
      </c>
      <c r="E11" s="8" t="n">
        <v>1105</v>
      </c>
      <c r="F11" s="7" t="s">
        <v>43</v>
      </c>
      <c r="G11" s="9" t="n">
        <v>730</v>
      </c>
      <c r="H11" s="9" t="n">
        <v>730</v>
      </c>
      <c r="I11" s="10" t="n">
        <f aca="false">IF(E11=0,0,(E11-H11)/E11)</f>
        <v>0.339366515837104</v>
      </c>
      <c r="J11" s="6" t="str">
        <f aca="false">IF(E11&lt;G11,"LOSS",IF(E11&lt;H11*1.1,"THIN / RISK",IF(E11&gt;H11*1.8,"OVERPRICED?","OK")))</f>
        <v>OK</v>
      </c>
      <c r="K11" s="8" t="n">
        <f aca="false">IF(J11="OVERPRICED?",ROUND(H11*1.35,-1),MAX(E11,ROUND(H11*(1+$E$3),-1)))</f>
        <v>1105</v>
      </c>
      <c r="L11" s="8" t="n">
        <f aca="false">D11*E11</f>
        <v>6630</v>
      </c>
      <c r="M11" s="8" t="n">
        <f aca="false">D11*K11</f>
        <v>6630</v>
      </c>
      <c r="N11" s="8" t="n">
        <f aca="false">D11*H11</f>
        <v>4380</v>
      </c>
      <c r="O11" s="6" t="str">
        <f aca="false">IF(ISNUMBER(SEARCH(C11,F11)),"","YES")</f>
        <v>YES</v>
      </c>
      <c r="P11" s="6" t="s">
        <v>44</v>
      </c>
      <c r="Q11" s="7" t="s">
        <v>45</v>
      </c>
      <c r="R11" s="7"/>
    </row>
    <row r="12" customFormat="false" ht="15" hidden="false" customHeight="false" outlineLevel="0" collapsed="false">
      <c r="A12" s="6" t="n">
        <v>7</v>
      </c>
      <c r="B12" s="7" t="s">
        <v>46</v>
      </c>
      <c r="C12" s="6" t="s">
        <v>22</v>
      </c>
      <c r="D12" s="6" t="n">
        <v>24</v>
      </c>
      <c r="E12" s="8" t="n">
        <v>507</v>
      </c>
      <c r="F12" s="7" t="s">
        <v>47</v>
      </c>
      <c r="G12" s="9" t="n">
        <v>350</v>
      </c>
      <c r="H12" s="9" t="n">
        <v>350</v>
      </c>
      <c r="I12" s="10" t="n">
        <f aca="false">IF(E12=0,0,(E12-H12)/E12)</f>
        <v>0.309664694280079</v>
      </c>
      <c r="J12" s="6" t="str">
        <f aca="false">IF(E12&lt;G12,"LOSS",IF(E12&lt;H12*1.1,"THIN / RISK",IF(E12&gt;H12*1.8,"OVERPRICED?","OK")))</f>
        <v>OK</v>
      </c>
      <c r="K12" s="8" t="n">
        <f aca="false">IF(J12="OVERPRICED?",ROUND(H12*1.35,-1),MAX(E12,ROUND(H12*(1+$E$3),-1)))</f>
        <v>507</v>
      </c>
      <c r="L12" s="8" t="n">
        <f aca="false">D12*E12</f>
        <v>12168</v>
      </c>
      <c r="M12" s="8" t="n">
        <f aca="false">D12*K12</f>
        <v>12168</v>
      </c>
      <c r="N12" s="8" t="n">
        <f aca="false">D12*H12</f>
        <v>8400</v>
      </c>
      <c r="O12" s="6" t="str">
        <f aca="false">IF(ISNUMBER(SEARCH(C12,F12)),"","YES")</f>
        <v>YES</v>
      </c>
      <c r="P12" s="6" t="s">
        <v>44</v>
      </c>
      <c r="Q12" s="7" t="s">
        <v>48</v>
      </c>
      <c r="R12" s="7"/>
    </row>
    <row r="13" customFormat="false" ht="32.8" hidden="false" customHeight="false" outlineLevel="0" collapsed="false">
      <c r="A13" s="6" t="n">
        <v>8</v>
      </c>
      <c r="B13" s="7" t="s">
        <v>49</v>
      </c>
      <c r="C13" s="6" t="s">
        <v>28</v>
      </c>
      <c r="D13" s="6" t="n">
        <v>3</v>
      </c>
      <c r="E13" s="8" t="n">
        <v>161070</v>
      </c>
      <c r="F13" s="7" t="s">
        <v>28</v>
      </c>
      <c r="G13" s="9" t="n">
        <v>272440</v>
      </c>
      <c r="H13" s="9" t="n">
        <v>272440</v>
      </c>
      <c r="I13" s="10" t="n">
        <f aca="false">IF(E13=0,0,(E13-H13)/E13)</f>
        <v>-0.691438504997827</v>
      </c>
      <c r="J13" s="6" t="str">
        <f aca="false">IF(E13&lt;G13,"LOSS",IF(E13&lt;H13*1.1,"THIN / RISK",IF(E13&gt;H13*1.8,"OVERPRICED?","OK")))</f>
        <v>LOSS</v>
      </c>
      <c r="K13" s="8" t="n">
        <f aca="false">IF(J13="OVERPRICED?",ROUND(H13*1.35,-1),MAX(E13,ROUND(H13*(1+$E$3),-1)))</f>
        <v>313310</v>
      </c>
      <c r="L13" s="8" t="n">
        <f aca="false">D13*E13</f>
        <v>483210</v>
      </c>
      <c r="M13" s="8" t="n">
        <f aca="false">D13*K13</f>
        <v>939930</v>
      </c>
      <c r="N13" s="8" t="n">
        <f aca="false">D13*H13</f>
        <v>817320</v>
      </c>
      <c r="O13" s="6" t="str">
        <f aca="false">IF(ISNUMBER(SEARCH(C13,F13)),"","YES")</f>
        <v/>
      </c>
      <c r="P13" s="6" t="s">
        <v>44</v>
      </c>
      <c r="Q13" s="7" t="s">
        <v>50</v>
      </c>
      <c r="R13" s="7"/>
    </row>
    <row r="14" customFormat="false" ht="32.8" hidden="false" customHeight="false" outlineLevel="0" collapsed="false">
      <c r="A14" s="6" t="n">
        <v>9</v>
      </c>
      <c r="B14" s="7" t="s">
        <v>51</v>
      </c>
      <c r="C14" s="6" t="s">
        <v>28</v>
      </c>
      <c r="D14" s="6" t="n">
        <v>4</v>
      </c>
      <c r="E14" s="8" t="n">
        <v>18200</v>
      </c>
      <c r="F14" s="7" t="s">
        <v>28</v>
      </c>
      <c r="G14" s="9" t="n">
        <v>29600</v>
      </c>
      <c r="H14" s="9" t="n">
        <v>29600</v>
      </c>
      <c r="I14" s="10" t="n">
        <f aca="false">IF(E14=0,0,(E14-H14)/E14)</f>
        <v>-0.626373626373626</v>
      </c>
      <c r="J14" s="6" t="str">
        <f aca="false">IF(E14&lt;G14,"LOSS",IF(E14&lt;H14*1.1,"THIN / RISK",IF(E14&gt;H14*1.8,"OVERPRICED?","OK")))</f>
        <v>LOSS</v>
      </c>
      <c r="K14" s="8" t="n">
        <f aca="false">IF(J14="OVERPRICED?",ROUND(H14*1.35,-1),MAX(E14,ROUND(H14*(1+$E$3),-1)))</f>
        <v>34040</v>
      </c>
      <c r="L14" s="8" t="n">
        <f aca="false">D14*E14</f>
        <v>72800</v>
      </c>
      <c r="M14" s="8" t="n">
        <f aca="false">D14*K14</f>
        <v>136160</v>
      </c>
      <c r="N14" s="8" t="n">
        <f aca="false">D14*H14</f>
        <v>118400</v>
      </c>
      <c r="O14" s="6" t="str">
        <f aca="false">IF(ISNUMBER(SEARCH(C14,F14)),"","YES")</f>
        <v/>
      </c>
      <c r="P14" s="6" t="s">
        <v>24</v>
      </c>
      <c r="Q14" s="7" t="s">
        <v>52</v>
      </c>
      <c r="R14" s="7" t="s">
        <v>26</v>
      </c>
    </row>
    <row r="15" customFormat="false" ht="32.8" hidden="false" customHeight="false" outlineLevel="0" collapsed="false">
      <c r="A15" s="6" t="n">
        <v>10</v>
      </c>
      <c r="B15" s="7" t="s">
        <v>53</v>
      </c>
      <c r="C15" s="6" t="s">
        <v>28</v>
      </c>
      <c r="D15" s="6" t="n">
        <v>4</v>
      </c>
      <c r="E15" s="8" t="n">
        <v>15600</v>
      </c>
      <c r="F15" s="7" t="s">
        <v>54</v>
      </c>
      <c r="G15" s="9" t="n">
        <v>12630</v>
      </c>
      <c r="H15" s="9" t="n">
        <v>12630</v>
      </c>
      <c r="I15" s="10" t="n">
        <f aca="false">IF(E15=0,0,(E15-H15)/E15)</f>
        <v>0.190384615384615</v>
      </c>
      <c r="J15" s="6" t="str">
        <f aca="false">IF(E15&lt;G15,"LOSS",IF(E15&lt;H15*1.1,"THIN / RISK",IF(E15&gt;H15*1.8,"OVERPRICED?","OK")))</f>
        <v>OK</v>
      </c>
      <c r="K15" s="8" t="n">
        <f aca="false">IF(J15="OVERPRICED?",ROUND(H15*1.35,-1),MAX(E15,ROUND(H15*(1+$E$3),-1)))</f>
        <v>15600</v>
      </c>
      <c r="L15" s="8" t="n">
        <f aca="false">D15*E15</f>
        <v>62400</v>
      </c>
      <c r="M15" s="8" t="n">
        <f aca="false">D15*K15</f>
        <v>62400</v>
      </c>
      <c r="N15" s="8" t="n">
        <f aca="false">D15*H15</f>
        <v>50520</v>
      </c>
      <c r="O15" s="6" t="str">
        <f aca="false">IF(ISNUMBER(SEARCH(C15,F15)),"","YES")</f>
        <v>YES</v>
      </c>
      <c r="P15" s="6" t="s">
        <v>44</v>
      </c>
      <c r="Q15" s="7" t="s">
        <v>55</v>
      </c>
      <c r="R15" s="7"/>
    </row>
    <row r="16" customFormat="false" ht="15" hidden="false" customHeight="false" outlineLevel="0" collapsed="false">
      <c r="A16" s="6" t="n">
        <v>11</v>
      </c>
      <c r="B16" s="7" t="s">
        <v>56</v>
      </c>
      <c r="C16" s="6" t="s">
        <v>28</v>
      </c>
      <c r="D16" s="6" t="n">
        <v>3</v>
      </c>
      <c r="E16" s="8" t="n">
        <v>3640</v>
      </c>
      <c r="F16" s="7" t="s">
        <v>28</v>
      </c>
      <c r="G16" s="9" t="n">
        <v>7430</v>
      </c>
      <c r="H16" s="9" t="n">
        <v>7430</v>
      </c>
      <c r="I16" s="10" t="n">
        <f aca="false">IF(E16=0,0,(E16-H16)/E16)</f>
        <v>-1.04120879120879</v>
      </c>
      <c r="J16" s="6" t="str">
        <f aca="false">IF(E16&lt;G16,"LOSS",IF(E16&lt;H16*1.1,"THIN / RISK",IF(E16&gt;H16*1.8,"OVERPRICED?","OK")))</f>
        <v>LOSS</v>
      </c>
      <c r="K16" s="8" t="n">
        <f aca="false">IF(J16="OVERPRICED?",ROUND(H16*1.35,-1),MAX(E16,ROUND(H16*(1+$E$3),-1)))</f>
        <v>8540</v>
      </c>
      <c r="L16" s="8" t="n">
        <f aca="false">D16*E16</f>
        <v>10920</v>
      </c>
      <c r="M16" s="8" t="n">
        <f aca="false">D16*K16</f>
        <v>25620</v>
      </c>
      <c r="N16" s="8" t="n">
        <f aca="false">D16*H16</f>
        <v>22290</v>
      </c>
      <c r="O16" s="6" t="str">
        <f aca="false">IF(ISNUMBER(SEARCH(C16,F16)),"","YES")</f>
        <v/>
      </c>
      <c r="P16" s="6" t="s">
        <v>44</v>
      </c>
      <c r="Q16" s="7" t="s">
        <v>57</v>
      </c>
      <c r="R16" s="7"/>
    </row>
    <row r="17" customFormat="false" ht="22.35" hidden="false" customHeight="false" outlineLevel="0" collapsed="false">
      <c r="A17" s="6" t="n">
        <v>12</v>
      </c>
      <c r="B17" s="7" t="s">
        <v>58</v>
      </c>
      <c r="C17" s="6" t="s">
        <v>28</v>
      </c>
      <c r="D17" s="6" t="n">
        <v>3</v>
      </c>
      <c r="E17" s="8" t="n">
        <v>4550</v>
      </c>
      <c r="F17" s="7" t="s">
        <v>28</v>
      </c>
      <c r="G17" s="9" t="n">
        <v>12310</v>
      </c>
      <c r="H17" s="9" t="n">
        <v>12310</v>
      </c>
      <c r="I17" s="10" t="n">
        <f aca="false">IF(E17=0,0,(E17-H17)/E17)</f>
        <v>-1.70549450549451</v>
      </c>
      <c r="J17" s="6" t="str">
        <f aca="false">IF(E17&lt;G17,"LOSS",IF(E17&lt;H17*1.1,"THIN / RISK",IF(E17&gt;H17*1.8,"OVERPRICED?","OK")))</f>
        <v>LOSS</v>
      </c>
      <c r="K17" s="8" t="n">
        <f aca="false">IF(J17="OVERPRICED?",ROUND(H17*1.35,-1),MAX(E17,ROUND(H17*(1+$E$3),-1)))</f>
        <v>14160</v>
      </c>
      <c r="L17" s="8" t="n">
        <f aca="false">D17*E17</f>
        <v>13650</v>
      </c>
      <c r="M17" s="8" t="n">
        <f aca="false">D17*K17</f>
        <v>42480</v>
      </c>
      <c r="N17" s="8" t="n">
        <f aca="false">D17*H17</f>
        <v>36930</v>
      </c>
      <c r="O17" s="6" t="str">
        <f aca="false">IF(ISNUMBER(SEARCH(C17,F17)),"","YES")</f>
        <v/>
      </c>
      <c r="P17" s="6" t="s">
        <v>44</v>
      </c>
      <c r="Q17" s="7" t="s">
        <v>59</v>
      </c>
      <c r="R17" s="7"/>
    </row>
    <row r="18" customFormat="false" ht="22.35" hidden="false" customHeight="false" outlineLevel="0" collapsed="false">
      <c r="A18" s="6" t="n">
        <v>13</v>
      </c>
      <c r="B18" s="7" t="s">
        <v>60</v>
      </c>
      <c r="C18" s="6" t="s">
        <v>28</v>
      </c>
      <c r="D18" s="6" t="n">
        <v>4</v>
      </c>
      <c r="E18" s="8" t="n">
        <v>22100</v>
      </c>
      <c r="F18" s="7" t="s">
        <v>61</v>
      </c>
      <c r="G18" s="9" t="n">
        <v>11780</v>
      </c>
      <c r="H18" s="9" t="n">
        <v>11780</v>
      </c>
      <c r="I18" s="10" t="n">
        <f aca="false">IF(E18=0,0,(E18-H18)/E18)</f>
        <v>0.466968325791855</v>
      </c>
      <c r="J18" s="6" t="str">
        <f aca="false">IF(E18&lt;G18,"LOSS",IF(E18&lt;H18*1.1,"THIN / RISK",IF(E18&gt;H18*1.8,"OVERPRICED?","OK")))</f>
        <v>OVERPRICED?</v>
      </c>
      <c r="K18" s="8" t="n">
        <f aca="false">IF(J18="OVERPRICED?",ROUND(H18*1.35,-1),MAX(E18,ROUND(H18*(1+$E$3),-1)))</f>
        <v>15900</v>
      </c>
      <c r="L18" s="8" t="n">
        <f aca="false">D18*E18</f>
        <v>88400</v>
      </c>
      <c r="M18" s="8" t="n">
        <f aca="false">D18*K18</f>
        <v>63600</v>
      </c>
      <c r="N18" s="8" t="n">
        <f aca="false">D18*H18</f>
        <v>47120</v>
      </c>
      <c r="O18" s="6" t="str">
        <f aca="false">IF(ISNUMBER(SEARCH(C18,F18)),"","YES")</f>
        <v>YES</v>
      </c>
      <c r="P18" s="6" t="s">
        <v>44</v>
      </c>
      <c r="Q18" s="7" t="s">
        <v>62</v>
      </c>
      <c r="R18" s="7"/>
    </row>
    <row r="19" customFormat="false" ht="15" hidden="false" customHeight="false" outlineLevel="0" collapsed="false">
      <c r="A19" s="6" t="n">
        <v>14</v>
      </c>
      <c r="B19" s="7" t="s">
        <v>63</v>
      </c>
      <c r="C19" s="6" t="s">
        <v>28</v>
      </c>
      <c r="D19" s="6" t="n">
        <v>4</v>
      </c>
      <c r="E19" s="8" t="n">
        <v>75400</v>
      </c>
      <c r="F19" s="7" t="s">
        <v>28</v>
      </c>
      <c r="G19" s="9" t="n">
        <v>67130</v>
      </c>
      <c r="H19" s="9" t="n">
        <v>67130</v>
      </c>
      <c r="I19" s="10" t="n">
        <f aca="false">IF(E19=0,0,(E19-H19)/E19)</f>
        <v>0.109681697612732</v>
      </c>
      <c r="J19" s="6" t="str">
        <f aca="false">IF(E19&lt;G19,"LOSS",IF(E19&lt;H19*1.1,"THIN / RISK",IF(E19&gt;H19*1.8,"OVERPRICED?","OK")))</f>
        <v>OK</v>
      </c>
      <c r="K19" s="8" t="n">
        <f aca="false">IF(J19="OVERPRICED?",ROUND(H19*1.35,-1),MAX(E19,ROUND(H19*(1+$E$3),-1)))</f>
        <v>77200</v>
      </c>
      <c r="L19" s="8" t="n">
        <f aca="false">D19*E19</f>
        <v>301600</v>
      </c>
      <c r="M19" s="8" t="n">
        <f aca="false">D19*K19</f>
        <v>308800</v>
      </c>
      <c r="N19" s="8" t="n">
        <f aca="false">D19*H19</f>
        <v>268520</v>
      </c>
      <c r="O19" s="6" t="str">
        <f aca="false">IF(ISNUMBER(SEARCH(C19,F19)),"","YES")</f>
        <v/>
      </c>
      <c r="P19" s="6" t="s">
        <v>44</v>
      </c>
      <c r="Q19" s="7" t="s">
        <v>64</v>
      </c>
      <c r="R19" s="7"/>
    </row>
    <row r="20" customFormat="false" ht="22.35" hidden="false" customHeight="false" outlineLevel="0" collapsed="false">
      <c r="A20" s="6" t="n">
        <v>15</v>
      </c>
      <c r="B20" s="7" t="s">
        <v>65</v>
      </c>
      <c r="C20" s="6" t="s">
        <v>28</v>
      </c>
      <c r="D20" s="6" t="n">
        <v>4</v>
      </c>
      <c r="E20" s="8" t="n">
        <v>5850</v>
      </c>
      <c r="F20" s="7" t="s">
        <v>28</v>
      </c>
      <c r="G20" s="9" t="n">
        <v>5460</v>
      </c>
      <c r="H20" s="9" t="n">
        <v>5460</v>
      </c>
      <c r="I20" s="10" t="n">
        <f aca="false">IF(E20=0,0,(E20-H20)/E20)</f>
        <v>0.0666666666666667</v>
      </c>
      <c r="J20" s="6" t="str">
        <f aca="false">IF(E20&lt;G20,"LOSS",IF(E20&lt;H20*1.1,"THIN / RISK",IF(E20&gt;H20*1.8,"OVERPRICED?","OK")))</f>
        <v>THIN / RISK</v>
      </c>
      <c r="K20" s="8" t="n">
        <f aca="false">IF(J20="OVERPRICED?",ROUND(H20*1.35,-1),MAX(E20,ROUND(H20*(1+$E$3),-1)))</f>
        <v>6280</v>
      </c>
      <c r="L20" s="8" t="n">
        <f aca="false">D20*E20</f>
        <v>23400</v>
      </c>
      <c r="M20" s="8" t="n">
        <f aca="false">D20*K20</f>
        <v>25120</v>
      </c>
      <c r="N20" s="8" t="n">
        <f aca="false">D20*H20</f>
        <v>21840</v>
      </c>
      <c r="O20" s="6" t="str">
        <f aca="false">IF(ISNUMBER(SEARCH(C20,F20)),"","YES")</f>
        <v/>
      </c>
      <c r="P20" s="6" t="s">
        <v>44</v>
      </c>
      <c r="Q20" s="7" t="s">
        <v>66</v>
      </c>
      <c r="R20" s="7"/>
    </row>
    <row r="21" customFormat="false" ht="32.8" hidden="false" customHeight="false" outlineLevel="0" collapsed="false">
      <c r="A21" s="6" t="n">
        <v>16</v>
      </c>
      <c r="B21" s="7" t="s">
        <v>67</v>
      </c>
      <c r="C21" s="6" t="s">
        <v>28</v>
      </c>
      <c r="D21" s="6" t="n">
        <v>4</v>
      </c>
      <c r="E21" s="8" t="n">
        <v>8450</v>
      </c>
      <c r="F21" s="7" t="s">
        <v>54</v>
      </c>
      <c r="G21" s="9" t="n">
        <v>4699</v>
      </c>
      <c r="H21" s="9" t="n">
        <v>4699</v>
      </c>
      <c r="I21" s="10" t="n">
        <f aca="false">IF(E21=0,0,(E21-H21)/E21)</f>
        <v>0.443905325443787</v>
      </c>
      <c r="J21" s="6" t="str">
        <f aca="false">IF(E21&lt;G21,"LOSS",IF(E21&lt;H21*1.1,"THIN / RISK",IF(E21&gt;H21*1.8,"OVERPRICED?","OK")))</f>
        <v>OK</v>
      </c>
      <c r="K21" s="8" t="n">
        <f aca="false">IF(J21="OVERPRICED?",ROUND(H21*1.35,-1),MAX(E21,ROUND(H21*(1+$E$3),-1)))</f>
        <v>8450</v>
      </c>
      <c r="L21" s="8" t="n">
        <f aca="false">D21*E21</f>
        <v>33800</v>
      </c>
      <c r="M21" s="8" t="n">
        <f aca="false">D21*K21</f>
        <v>33800</v>
      </c>
      <c r="N21" s="8" t="n">
        <f aca="false">D21*H21</f>
        <v>18796</v>
      </c>
      <c r="O21" s="6" t="str">
        <f aca="false">IF(ISNUMBER(SEARCH(C21,F21)),"","YES")</f>
        <v>YES</v>
      </c>
      <c r="P21" s="6" t="s">
        <v>24</v>
      </c>
      <c r="Q21" s="7" t="s">
        <v>68</v>
      </c>
      <c r="R21" s="7" t="s">
        <v>26</v>
      </c>
    </row>
    <row r="22" customFormat="false" ht="15" hidden="false" customHeight="false" outlineLevel="0" collapsed="false">
      <c r="A22" s="6" t="n">
        <v>17</v>
      </c>
      <c r="B22" s="7" t="s">
        <v>69</v>
      </c>
      <c r="C22" s="6" t="s">
        <v>28</v>
      </c>
      <c r="D22" s="6" t="n">
        <v>4</v>
      </c>
      <c r="E22" s="8" t="n">
        <v>2548</v>
      </c>
      <c r="F22" s="7" t="s">
        <v>28</v>
      </c>
      <c r="G22" s="9" t="n">
        <v>4400</v>
      </c>
      <c r="H22" s="9" t="n">
        <v>4400</v>
      </c>
      <c r="I22" s="10" t="n">
        <f aca="false">IF(E22=0,0,(E22-H22)/E22)</f>
        <v>-0.726844583987441</v>
      </c>
      <c r="J22" s="6" t="str">
        <f aca="false">IF(E22&lt;G22,"LOSS",IF(E22&lt;H22*1.1,"THIN / RISK",IF(E22&gt;H22*1.8,"OVERPRICED?","OK")))</f>
        <v>LOSS</v>
      </c>
      <c r="K22" s="8" t="n">
        <f aca="false">IF(J22="OVERPRICED?",ROUND(H22*1.35,-1),MAX(E22,ROUND(H22*(1+$E$3),-1)))</f>
        <v>5060</v>
      </c>
      <c r="L22" s="8" t="n">
        <f aca="false">D22*E22</f>
        <v>10192</v>
      </c>
      <c r="M22" s="8" t="n">
        <f aca="false">D22*K22</f>
        <v>20240</v>
      </c>
      <c r="N22" s="8" t="n">
        <f aca="false">D22*H22</f>
        <v>17600</v>
      </c>
      <c r="O22" s="6" t="str">
        <f aca="false">IF(ISNUMBER(SEARCH(C22,F22)),"","YES")</f>
        <v/>
      </c>
      <c r="P22" s="6" t="s">
        <v>44</v>
      </c>
      <c r="Q22" s="7" t="s">
        <v>70</v>
      </c>
      <c r="R22" s="7"/>
    </row>
    <row r="23" customFormat="false" ht="22.35" hidden="false" customHeight="false" outlineLevel="0" collapsed="false">
      <c r="A23" s="6" t="n">
        <v>18</v>
      </c>
      <c r="B23" s="7" t="s">
        <v>71</v>
      </c>
      <c r="C23" s="6" t="s">
        <v>28</v>
      </c>
      <c r="D23" s="6" t="n">
        <v>4</v>
      </c>
      <c r="E23" s="8" t="n">
        <v>1846</v>
      </c>
      <c r="F23" s="7" t="s">
        <v>28</v>
      </c>
      <c r="G23" s="9" t="n">
        <v>3540</v>
      </c>
      <c r="H23" s="9" t="n">
        <v>3540</v>
      </c>
      <c r="I23" s="10" t="n">
        <f aca="false">IF(E23=0,0,(E23-H23)/E23)</f>
        <v>-0.917659804983749</v>
      </c>
      <c r="J23" s="6" t="str">
        <f aca="false">IF(E23&lt;G23,"LOSS",IF(E23&lt;H23*1.1,"THIN / RISK",IF(E23&gt;H23*1.8,"OVERPRICED?","OK")))</f>
        <v>LOSS</v>
      </c>
      <c r="K23" s="8" t="n">
        <f aca="false">IF(J23="OVERPRICED?",ROUND(H23*1.35,-1),MAX(E23,ROUND(H23*(1+$E$3),-1)))</f>
        <v>4070</v>
      </c>
      <c r="L23" s="8" t="n">
        <f aca="false">D23*E23</f>
        <v>7384</v>
      </c>
      <c r="M23" s="8" t="n">
        <f aca="false">D23*K23</f>
        <v>16280</v>
      </c>
      <c r="N23" s="8" t="n">
        <f aca="false">D23*H23</f>
        <v>14160</v>
      </c>
      <c r="O23" s="6" t="str">
        <f aca="false">IF(ISNUMBER(SEARCH(C23,F23)),"","YES")</f>
        <v/>
      </c>
      <c r="P23" s="6" t="s">
        <v>44</v>
      </c>
      <c r="Q23" s="7" t="s">
        <v>72</v>
      </c>
      <c r="R23" s="7"/>
    </row>
    <row r="24" customFormat="false" ht="15" hidden="false" customHeight="false" outlineLevel="0" collapsed="false">
      <c r="A24" s="6" t="n">
        <v>19</v>
      </c>
      <c r="B24" s="7" t="s">
        <v>73</v>
      </c>
      <c r="C24" s="6" t="s">
        <v>28</v>
      </c>
      <c r="D24" s="6" t="n">
        <v>4</v>
      </c>
      <c r="E24" s="8" t="n">
        <v>2548</v>
      </c>
      <c r="F24" s="7" t="s">
        <v>28</v>
      </c>
      <c r="G24" s="9" t="n">
        <v>4400</v>
      </c>
      <c r="H24" s="9" t="n">
        <v>4400</v>
      </c>
      <c r="I24" s="10" t="n">
        <f aca="false">IF(E24=0,0,(E24-H24)/E24)</f>
        <v>-0.726844583987441</v>
      </c>
      <c r="J24" s="6" t="str">
        <f aca="false">IF(E24&lt;G24,"LOSS",IF(E24&lt;H24*1.1,"THIN / RISK",IF(E24&gt;H24*1.8,"OVERPRICED?","OK")))</f>
        <v>LOSS</v>
      </c>
      <c r="K24" s="8" t="n">
        <f aca="false">IF(J24="OVERPRICED?",ROUND(H24*1.35,-1),MAX(E24,ROUND(H24*(1+$E$3),-1)))</f>
        <v>5060</v>
      </c>
      <c r="L24" s="8" t="n">
        <f aca="false">D24*E24</f>
        <v>10192</v>
      </c>
      <c r="M24" s="8" t="n">
        <f aca="false">D24*K24</f>
        <v>20240</v>
      </c>
      <c r="N24" s="8" t="n">
        <f aca="false">D24*H24</f>
        <v>17600</v>
      </c>
      <c r="O24" s="6" t="str">
        <f aca="false">IF(ISNUMBER(SEARCH(C24,F24)),"","YES")</f>
        <v/>
      </c>
      <c r="P24" s="6" t="s">
        <v>44</v>
      </c>
      <c r="Q24" s="7" t="s">
        <v>74</v>
      </c>
      <c r="R24" s="7"/>
    </row>
    <row r="25" customFormat="false" ht="53.7" hidden="false" customHeight="false" outlineLevel="0" collapsed="false">
      <c r="A25" s="6" t="n">
        <v>20</v>
      </c>
      <c r="B25" s="7" t="s">
        <v>75</v>
      </c>
      <c r="C25" s="6" t="s">
        <v>28</v>
      </c>
      <c r="D25" s="6" t="n">
        <v>3</v>
      </c>
      <c r="E25" s="8" t="n">
        <v>910</v>
      </c>
      <c r="F25" s="7" t="s">
        <v>28</v>
      </c>
      <c r="G25" s="9" t="n">
        <v>1050</v>
      </c>
      <c r="H25" s="9" t="n">
        <v>1250</v>
      </c>
      <c r="I25" s="10" t="n">
        <f aca="false">IF(E25=0,0,(E25-H25)/E25)</f>
        <v>-0.373626373626374</v>
      </c>
      <c r="J25" s="6" t="str">
        <f aca="false">IF(E25&lt;G25,"LOSS",IF(E25&lt;H25*1.1,"THIN / RISK",IF(E25&gt;H25*1.8,"OVERPRICED?","OK")))</f>
        <v>LOSS</v>
      </c>
      <c r="K25" s="8" t="n">
        <f aca="false">IF(J25="OVERPRICED?",ROUND(H25*1.35,-1),MAX(E25,ROUND(H25*(1+$E$3),-1)))</f>
        <v>1440</v>
      </c>
      <c r="L25" s="8" t="n">
        <f aca="false">D25*E25</f>
        <v>2730</v>
      </c>
      <c r="M25" s="8" t="n">
        <f aca="false">D25*K25</f>
        <v>4320</v>
      </c>
      <c r="N25" s="8" t="n">
        <f aca="false">D25*H25</f>
        <v>3750</v>
      </c>
      <c r="O25" s="6" t="str">
        <f aca="false">IF(ISNUMBER(SEARCH(C25,F25)),"","YES")</f>
        <v/>
      </c>
      <c r="P25" s="6" t="s">
        <v>30</v>
      </c>
      <c r="Q25" s="7" t="s">
        <v>76</v>
      </c>
      <c r="R25" s="7" t="s">
        <v>32</v>
      </c>
    </row>
    <row r="26" customFormat="false" ht="15" hidden="false" customHeight="false" outlineLevel="0" collapsed="false">
      <c r="A26" s="6" t="n">
        <v>21</v>
      </c>
      <c r="B26" s="7" t="s">
        <v>77</v>
      </c>
      <c r="C26" s="6" t="s">
        <v>28</v>
      </c>
      <c r="D26" s="6" t="n">
        <v>3</v>
      </c>
      <c r="E26" s="8" t="n">
        <v>1170</v>
      </c>
      <c r="F26" s="7" t="s">
        <v>28</v>
      </c>
      <c r="G26" s="9" t="n">
        <v>1350</v>
      </c>
      <c r="H26" s="9" t="n">
        <v>1600</v>
      </c>
      <c r="I26" s="10" t="n">
        <f aca="false">IF(E26=0,0,(E26-H26)/E26)</f>
        <v>-0.367521367521368</v>
      </c>
      <c r="J26" s="6" t="str">
        <f aca="false">IF(E26&lt;G26,"LOSS",IF(E26&lt;H26*1.1,"THIN / RISK",IF(E26&gt;H26*1.8,"OVERPRICED?","OK")))</f>
        <v>LOSS</v>
      </c>
      <c r="K26" s="8" t="n">
        <f aca="false">IF(J26="OVERPRICED?",ROUND(H26*1.35,-1),MAX(E26,ROUND(H26*(1+$E$3),-1)))</f>
        <v>1840</v>
      </c>
      <c r="L26" s="8" t="n">
        <f aca="false">D26*E26</f>
        <v>3510</v>
      </c>
      <c r="M26" s="8" t="n">
        <f aca="false">D26*K26</f>
        <v>5520</v>
      </c>
      <c r="N26" s="8" t="n">
        <f aca="false">D26*H26</f>
        <v>4800</v>
      </c>
      <c r="O26" s="6" t="str">
        <f aca="false">IF(ISNUMBER(SEARCH(C26,F26)),"","YES")</f>
        <v/>
      </c>
      <c r="P26" s="6" t="s">
        <v>30</v>
      </c>
      <c r="Q26" s="7" t="s">
        <v>78</v>
      </c>
      <c r="R26" s="7" t="s">
        <v>32</v>
      </c>
    </row>
    <row r="27" customFormat="false" ht="15" hidden="false" customHeight="false" outlineLevel="0" collapsed="false">
      <c r="A27" s="6" t="n">
        <v>22</v>
      </c>
      <c r="B27" s="7" t="s">
        <v>79</v>
      </c>
      <c r="C27" s="6" t="s">
        <v>28</v>
      </c>
      <c r="D27" s="6" t="n">
        <v>3</v>
      </c>
      <c r="E27" s="8" t="n">
        <v>1430</v>
      </c>
      <c r="F27" s="7" t="s">
        <v>28</v>
      </c>
      <c r="G27" s="9" t="n">
        <v>1700</v>
      </c>
      <c r="H27" s="9" t="n">
        <v>2000</v>
      </c>
      <c r="I27" s="10" t="n">
        <f aca="false">IF(E27=0,0,(E27-H27)/E27)</f>
        <v>-0.398601398601399</v>
      </c>
      <c r="J27" s="6" t="str">
        <f aca="false">IF(E27&lt;G27,"LOSS",IF(E27&lt;H27*1.1,"THIN / RISK",IF(E27&gt;H27*1.8,"OVERPRICED?","OK")))</f>
        <v>LOSS</v>
      </c>
      <c r="K27" s="8" t="n">
        <f aca="false">IF(J27="OVERPRICED?",ROUND(H27*1.35,-1),MAX(E27,ROUND(H27*(1+$E$3),-1)))</f>
        <v>2300</v>
      </c>
      <c r="L27" s="8" t="n">
        <f aca="false">D27*E27</f>
        <v>4290</v>
      </c>
      <c r="M27" s="8" t="n">
        <f aca="false">D27*K27</f>
        <v>6900</v>
      </c>
      <c r="N27" s="8" t="n">
        <f aca="false">D27*H27</f>
        <v>6000</v>
      </c>
      <c r="O27" s="6" t="str">
        <f aca="false">IF(ISNUMBER(SEARCH(C27,F27)),"","YES")</f>
        <v/>
      </c>
      <c r="P27" s="6" t="s">
        <v>30</v>
      </c>
      <c r="Q27" s="7" t="s">
        <v>80</v>
      </c>
      <c r="R27" s="7" t="s">
        <v>32</v>
      </c>
    </row>
    <row r="28" customFormat="false" ht="22.35" hidden="false" customHeight="false" outlineLevel="0" collapsed="false">
      <c r="A28" s="6" t="n">
        <v>23</v>
      </c>
      <c r="B28" s="7" t="s">
        <v>81</v>
      </c>
      <c r="C28" s="6" t="s">
        <v>28</v>
      </c>
      <c r="D28" s="6" t="n">
        <v>4</v>
      </c>
      <c r="E28" s="8" t="n">
        <v>4940</v>
      </c>
      <c r="F28" s="7" t="s">
        <v>28</v>
      </c>
      <c r="G28" s="9" t="n">
        <v>3438</v>
      </c>
      <c r="H28" s="9" t="n">
        <v>3438</v>
      </c>
      <c r="I28" s="10" t="n">
        <f aca="false">IF(E28=0,0,(E28-H28)/E28)</f>
        <v>0.304048582995951</v>
      </c>
      <c r="J28" s="6" t="str">
        <f aca="false">IF(E28&lt;G28,"LOSS",IF(E28&lt;H28*1.1,"THIN / RISK",IF(E28&gt;H28*1.8,"OVERPRICED?","OK")))</f>
        <v>OK</v>
      </c>
      <c r="K28" s="8" t="n">
        <f aca="false">IF(J28="OVERPRICED?",ROUND(H28*1.35,-1),MAX(E28,ROUND(H28*(1+$E$3),-1)))</f>
        <v>4940</v>
      </c>
      <c r="L28" s="8" t="n">
        <f aca="false">D28*E28</f>
        <v>19760</v>
      </c>
      <c r="M28" s="8" t="n">
        <f aca="false">D28*K28</f>
        <v>19760</v>
      </c>
      <c r="N28" s="8" t="n">
        <f aca="false">D28*H28</f>
        <v>13752</v>
      </c>
      <c r="O28" s="6" t="str">
        <f aca="false">IF(ISNUMBER(SEARCH(C28,F28)),"","YES")</f>
        <v/>
      </c>
      <c r="P28" s="6" t="s">
        <v>44</v>
      </c>
      <c r="Q28" s="7" t="s">
        <v>82</v>
      </c>
      <c r="R28" s="7"/>
    </row>
    <row r="29" customFormat="false" ht="22.35" hidden="false" customHeight="false" outlineLevel="0" collapsed="false">
      <c r="A29" s="6" t="n">
        <v>24</v>
      </c>
      <c r="B29" s="7" t="s">
        <v>83</v>
      </c>
      <c r="C29" s="6" t="s">
        <v>28</v>
      </c>
      <c r="D29" s="6" t="n">
        <v>4</v>
      </c>
      <c r="E29" s="8" t="n">
        <v>4940</v>
      </c>
      <c r="F29" s="7" t="s">
        <v>28</v>
      </c>
      <c r="G29" s="9" t="n">
        <v>3438</v>
      </c>
      <c r="H29" s="9" t="n">
        <v>3438</v>
      </c>
      <c r="I29" s="10" t="n">
        <f aca="false">IF(E29=0,0,(E29-H29)/E29)</f>
        <v>0.304048582995951</v>
      </c>
      <c r="J29" s="6" t="str">
        <f aca="false">IF(E29&lt;G29,"LOSS",IF(E29&lt;H29*1.1,"THIN / RISK",IF(E29&gt;H29*1.8,"OVERPRICED?","OK")))</f>
        <v>OK</v>
      </c>
      <c r="K29" s="8" t="n">
        <f aca="false">IF(J29="OVERPRICED?",ROUND(H29*1.35,-1),MAX(E29,ROUND(H29*(1+$E$3),-1)))</f>
        <v>4940</v>
      </c>
      <c r="L29" s="8" t="n">
        <f aca="false">D29*E29</f>
        <v>19760</v>
      </c>
      <c r="M29" s="8" t="n">
        <f aca="false">D29*K29</f>
        <v>19760</v>
      </c>
      <c r="N29" s="8" t="n">
        <f aca="false">D29*H29</f>
        <v>13752</v>
      </c>
      <c r="O29" s="6" t="str">
        <f aca="false">IF(ISNUMBER(SEARCH(C29,F29)),"","YES")</f>
        <v/>
      </c>
      <c r="P29" s="6" t="s">
        <v>44</v>
      </c>
      <c r="Q29" s="7" t="s">
        <v>82</v>
      </c>
      <c r="R29" s="7"/>
    </row>
    <row r="30" customFormat="false" ht="22.35" hidden="false" customHeight="false" outlineLevel="0" collapsed="false">
      <c r="A30" s="6" t="n">
        <v>25</v>
      </c>
      <c r="B30" s="7" t="s">
        <v>84</v>
      </c>
      <c r="C30" s="6" t="s">
        <v>28</v>
      </c>
      <c r="D30" s="6" t="n">
        <v>4</v>
      </c>
      <c r="E30" s="8" t="n">
        <v>4940</v>
      </c>
      <c r="F30" s="7" t="s">
        <v>28</v>
      </c>
      <c r="G30" s="9" t="n">
        <v>3438</v>
      </c>
      <c r="H30" s="9" t="n">
        <v>3438</v>
      </c>
      <c r="I30" s="10" t="n">
        <f aca="false">IF(E30=0,0,(E30-H30)/E30)</f>
        <v>0.304048582995951</v>
      </c>
      <c r="J30" s="6" t="str">
        <f aca="false">IF(E30&lt;G30,"LOSS",IF(E30&lt;H30*1.1,"THIN / RISK",IF(E30&gt;H30*1.8,"OVERPRICED?","OK")))</f>
        <v>OK</v>
      </c>
      <c r="K30" s="8" t="n">
        <f aca="false">IF(J30="OVERPRICED?",ROUND(H30*1.35,-1),MAX(E30,ROUND(H30*(1+$E$3),-1)))</f>
        <v>4940</v>
      </c>
      <c r="L30" s="8" t="n">
        <f aca="false">D30*E30</f>
        <v>19760</v>
      </c>
      <c r="M30" s="8" t="n">
        <f aca="false">D30*K30</f>
        <v>19760</v>
      </c>
      <c r="N30" s="8" t="n">
        <f aca="false">D30*H30</f>
        <v>13752</v>
      </c>
      <c r="O30" s="6" t="str">
        <f aca="false">IF(ISNUMBER(SEARCH(C30,F30)),"","YES")</f>
        <v/>
      </c>
      <c r="P30" s="6" t="s">
        <v>44</v>
      </c>
      <c r="Q30" s="7" t="s">
        <v>82</v>
      </c>
      <c r="R30" s="7"/>
    </row>
    <row r="31" customFormat="false" ht="22.35" hidden="false" customHeight="false" outlineLevel="0" collapsed="false">
      <c r="A31" s="6" t="n">
        <v>26</v>
      </c>
      <c r="B31" s="7" t="s">
        <v>85</v>
      </c>
      <c r="C31" s="6" t="s">
        <v>28</v>
      </c>
      <c r="D31" s="6" t="n">
        <v>4</v>
      </c>
      <c r="E31" s="8" t="n">
        <v>4940</v>
      </c>
      <c r="F31" s="7" t="s">
        <v>28</v>
      </c>
      <c r="G31" s="9" t="n">
        <v>3438</v>
      </c>
      <c r="H31" s="9" t="n">
        <v>3438</v>
      </c>
      <c r="I31" s="10" t="n">
        <f aca="false">IF(E31=0,0,(E31-H31)/E31)</f>
        <v>0.304048582995951</v>
      </c>
      <c r="J31" s="6" t="str">
        <f aca="false">IF(E31&lt;G31,"LOSS",IF(E31&lt;H31*1.1,"THIN / RISK",IF(E31&gt;H31*1.8,"OVERPRICED?","OK")))</f>
        <v>OK</v>
      </c>
      <c r="K31" s="8" t="n">
        <f aca="false">IF(J31="OVERPRICED?",ROUND(H31*1.35,-1),MAX(E31,ROUND(H31*(1+$E$3),-1)))</f>
        <v>4940</v>
      </c>
      <c r="L31" s="8" t="n">
        <f aca="false">D31*E31</f>
        <v>19760</v>
      </c>
      <c r="M31" s="8" t="n">
        <f aca="false">D31*K31</f>
        <v>19760</v>
      </c>
      <c r="N31" s="8" t="n">
        <f aca="false">D31*H31</f>
        <v>13752</v>
      </c>
      <c r="O31" s="6" t="str">
        <f aca="false">IF(ISNUMBER(SEARCH(C31,F31)),"","YES")</f>
        <v/>
      </c>
      <c r="P31" s="6" t="s">
        <v>44</v>
      </c>
      <c r="Q31" s="7" t="s">
        <v>82</v>
      </c>
      <c r="R31" s="7"/>
    </row>
    <row r="32" customFormat="false" ht="32.8" hidden="false" customHeight="false" outlineLevel="0" collapsed="false">
      <c r="A32" s="6" t="n">
        <v>27</v>
      </c>
      <c r="B32" s="7" t="s">
        <v>86</v>
      </c>
      <c r="C32" s="6" t="s">
        <v>28</v>
      </c>
      <c r="D32" s="6" t="n">
        <v>4</v>
      </c>
      <c r="E32" s="8" t="n">
        <v>6760</v>
      </c>
      <c r="F32" s="7" t="s">
        <v>28</v>
      </c>
      <c r="G32" s="9" t="n">
        <v>4300</v>
      </c>
      <c r="H32" s="9" t="n">
        <v>4800</v>
      </c>
      <c r="I32" s="10" t="n">
        <f aca="false">IF(E32=0,0,(E32-H32)/E32)</f>
        <v>0.289940828402367</v>
      </c>
      <c r="J32" s="6" t="str">
        <f aca="false">IF(E32&lt;G32,"LOSS",IF(E32&lt;H32*1.1,"THIN / RISK",IF(E32&gt;H32*1.8,"OVERPRICED?","OK")))</f>
        <v>OK</v>
      </c>
      <c r="K32" s="8" t="n">
        <f aca="false">IF(J32="OVERPRICED?",ROUND(H32*1.35,-1),MAX(E32,ROUND(H32*(1+$E$3),-1)))</f>
        <v>6760</v>
      </c>
      <c r="L32" s="8" t="n">
        <f aca="false">D32*E32</f>
        <v>27040</v>
      </c>
      <c r="M32" s="8" t="n">
        <f aca="false">D32*K32</f>
        <v>27040</v>
      </c>
      <c r="N32" s="8" t="n">
        <f aca="false">D32*H32</f>
        <v>19200</v>
      </c>
      <c r="O32" s="6" t="str">
        <f aca="false">IF(ISNUMBER(SEARCH(C32,F32)),"","YES")</f>
        <v/>
      </c>
      <c r="P32" s="6" t="s">
        <v>30</v>
      </c>
      <c r="Q32" s="7" t="s">
        <v>87</v>
      </c>
      <c r="R32" s="7" t="s">
        <v>88</v>
      </c>
    </row>
    <row r="33" customFormat="false" ht="32.8" hidden="false" customHeight="false" outlineLevel="0" collapsed="false">
      <c r="A33" s="6" t="n">
        <v>28</v>
      </c>
      <c r="B33" s="7" t="s">
        <v>89</v>
      </c>
      <c r="C33" s="6" t="s">
        <v>28</v>
      </c>
      <c r="D33" s="6" t="n">
        <v>3</v>
      </c>
      <c r="E33" s="8" t="n">
        <v>6760</v>
      </c>
      <c r="F33" s="7" t="s">
        <v>28</v>
      </c>
      <c r="G33" s="9" t="n">
        <v>4300</v>
      </c>
      <c r="H33" s="9" t="n">
        <v>4800</v>
      </c>
      <c r="I33" s="10" t="n">
        <f aca="false">IF(E33=0,0,(E33-H33)/E33)</f>
        <v>0.289940828402367</v>
      </c>
      <c r="J33" s="6" t="str">
        <f aca="false">IF(E33&lt;G33,"LOSS",IF(E33&lt;H33*1.1,"THIN / RISK",IF(E33&gt;H33*1.8,"OVERPRICED?","OK")))</f>
        <v>OK</v>
      </c>
      <c r="K33" s="8" t="n">
        <f aca="false">IF(J33="OVERPRICED?",ROUND(H33*1.35,-1),MAX(E33,ROUND(H33*(1+$E$3),-1)))</f>
        <v>6760</v>
      </c>
      <c r="L33" s="8" t="n">
        <f aca="false">D33*E33</f>
        <v>20280</v>
      </c>
      <c r="M33" s="8" t="n">
        <f aca="false">D33*K33</f>
        <v>20280</v>
      </c>
      <c r="N33" s="8" t="n">
        <f aca="false">D33*H33</f>
        <v>14400</v>
      </c>
      <c r="O33" s="6" t="str">
        <f aca="false">IF(ISNUMBER(SEARCH(C33,F33)),"","YES")</f>
        <v/>
      </c>
      <c r="P33" s="6" t="s">
        <v>30</v>
      </c>
      <c r="Q33" s="7" t="s">
        <v>87</v>
      </c>
      <c r="R33" s="7" t="s">
        <v>88</v>
      </c>
    </row>
    <row r="34" customFormat="false" ht="15" hidden="false" customHeight="false" outlineLevel="0" collapsed="false">
      <c r="A34" s="6" t="n">
        <v>30</v>
      </c>
      <c r="B34" s="7" t="s">
        <v>90</v>
      </c>
      <c r="C34" s="6" t="s">
        <v>28</v>
      </c>
      <c r="D34" s="6" t="n">
        <v>4</v>
      </c>
      <c r="E34" s="8" t="n">
        <v>6136</v>
      </c>
      <c r="F34" s="7" t="s">
        <v>28</v>
      </c>
      <c r="G34" s="9" t="n">
        <v>4720</v>
      </c>
      <c r="H34" s="9" t="n">
        <v>4720</v>
      </c>
      <c r="I34" s="10" t="n">
        <f aca="false">IF(E34=0,0,(E34-H34)/E34)</f>
        <v>0.230769230769231</v>
      </c>
      <c r="J34" s="6" t="str">
        <f aca="false">IF(E34&lt;G34,"LOSS",IF(E34&lt;H34*1.1,"THIN / RISK",IF(E34&gt;H34*1.8,"OVERPRICED?","OK")))</f>
        <v>OK</v>
      </c>
      <c r="K34" s="8" t="n">
        <f aca="false">IF(J34="OVERPRICED?",ROUND(H34*1.35,-1),MAX(E34,ROUND(H34*(1+$E$3),-1)))</f>
        <v>6136</v>
      </c>
      <c r="L34" s="8" t="n">
        <f aca="false">D34*E34</f>
        <v>24544</v>
      </c>
      <c r="M34" s="8" t="n">
        <f aca="false">D34*K34</f>
        <v>24544</v>
      </c>
      <c r="N34" s="8" t="n">
        <f aca="false">D34*H34</f>
        <v>18880</v>
      </c>
      <c r="O34" s="6" t="str">
        <f aca="false">IF(ISNUMBER(SEARCH(C34,F34)),"","YES")</f>
        <v/>
      </c>
      <c r="P34" s="6" t="s">
        <v>44</v>
      </c>
      <c r="Q34" s="7" t="s">
        <v>91</v>
      </c>
      <c r="R34" s="7"/>
    </row>
    <row r="35" customFormat="false" ht="22.35" hidden="false" customHeight="false" outlineLevel="0" collapsed="false">
      <c r="A35" s="6" t="n">
        <v>31</v>
      </c>
      <c r="B35" s="7" t="s">
        <v>92</v>
      </c>
      <c r="C35" s="6" t="s">
        <v>28</v>
      </c>
      <c r="D35" s="6" t="n">
        <v>3</v>
      </c>
      <c r="E35" s="8" t="n">
        <v>2210</v>
      </c>
      <c r="F35" s="7" t="s">
        <v>43</v>
      </c>
      <c r="G35" s="9" t="n">
        <v>1700</v>
      </c>
      <c r="H35" s="9" t="n">
        <v>1700</v>
      </c>
      <c r="I35" s="10" t="n">
        <f aca="false">IF(E35=0,0,(E35-H35)/E35)</f>
        <v>0.230769230769231</v>
      </c>
      <c r="J35" s="6" t="str">
        <f aca="false">IF(E35&lt;G35,"LOSS",IF(E35&lt;H35*1.1,"THIN / RISK",IF(E35&gt;H35*1.8,"OVERPRICED?","OK")))</f>
        <v>OK</v>
      </c>
      <c r="K35" s="8" t="n">
        <f aca="false">IF(J35="OVERPRICED?",ROUND(H35*1.35,-1),MAX(E35,ROUND(H35*(1+$E$3),-1)))</f>
        <v>2210</v>
      </c>
      <c r="L35" s="8" t="n">
        <f aca="false">D35*E35</f>
        <v>6630</v>
      </c>
      <c r="M35" s="8" t="n">
        <f aca="false">D35*K35</f>
        <v>6630</v>
      </c>
      <c r="N35" s="8" t="n">
        <f aca="false">D35*H35</f>
        <v>5100</v>
      </c>
      <c r="O35" s="6" t="str">
        <f aca="false">IF(ISNUMBER(SEARCH(C35,F35)),"","YES")</f>
        <v>YES</v>
      </c>
      <c r="P35" s="6" t="s">
        <v>44</v>
      </c>
      <c r="Q35" s="7" t="s">
        <v>93</v>
      </c>
      <c r="R35" s="7"/>
    </row>
    <row r="36" customFormat="false" ht="22.35" hidden="false" customHeight="false" outlineLevel="0" collapsed="false">
      <c r="A36" s="6" t="n">
        <v>32</v>
      </c>
      <c r="B36" s="7" t="s">
        <v>94</v>
      </c>
      <c r="C36" s="6" t="s">
        <v>28</v>
      </c>
      <c r="D36" s="6" t="n">
        <v>3</v>
      </c>
      <c r="E36" s="8" t="n">
        <v>2886</v>
      </c>
      <c r="F36" s="7" t="s">
        <v>54</v>
      </c>
      <c r="G36" s="9" t="n">
        <v>2850</v>
      </c>
      <c r="H36" s="9" t="n">
        <v>2850</v>
      </c>
      <c r="I36" s="10" t="n">
        <f aca="false">IF(E36=0,0,(E36-H36)/E36)</f>
        <v>0.0124740124740125</v>
      </c>
      <c r="J36" s="6" t="str">
        <f aca="false">IF(E36&lt;G36,"LOSS",IF(E36&lt;H36*1.1,"THIN / RISK",IF(E36&gt;H36*1.8,"OVERPRICED?","OK")))</f>
        <v>THIN / RISK</v>
      </c>
      <c r="K36" s="8" t="n">
        <f aca="false">IF(J36="OVERPRICED?",ROUND(H36*1.35,-1),MAX(E36,ROUND(H36*(1+$E$3),-1)))</f>
        <v>3280</v>
      </c>
      <c r="L36" s="8" t="n">
        <f aca="false">D36*E36</f>
        <v>8658</v>
      </c>
      <c r="M36" s="8" t="n">
        <f aca="false">D36*K36</f>
        <v>9840</v>
      </c>
      <c r="N36" s="8" t="n">
        <f aca="false">D36*H36</f>
        <v>8550</v>
      </c>
      <c r="O36" s="6" t="str">
        <f aca="false">IF(ISNUMBER(SEARCH(C36,F36)),"","YES")</f>
        <v>YES</v>
      </c>
      <c r="P36" s="6" t="s">
        <v>44</v>
      </c>
      <c r="Q36" s="7" t="s">
        <v>95</v>
      </c>
      <c r="R36" s="7"/>
    </row>
    <row r="37" customFormat="false" ht="15" hidden="false" customHeight="false" outlineLevel="0" collapsed="false">
      <c r="A37" s="6" t="n">
        <v>33</v>
      </c>
      <c r="B37" s="7" t="s">
        <v>96</v>
      </c>
      <c r="C37" s="6" t="s">
        <v>28</v>
      </c>
      <c r="D37" s="6" t="n">
        <v>3</v>
      </c>
      <c r="E37" s="8" t="n">
        <v>5902</v>
      </c>
      <c r="F37" s="7" t="s">
        <v>28</v>
      </c>
      <c r="G37" s="9" t="n">
        <v>9620</v>
      </c>
      <c r="H37" s="9" t="n">
        <v>9620</v>
      </c>
      <c r="I37" s="10" t="n">
        <f aca="false">IF(E37=0,0,(E37-H37)/E37)</f>
        <v>-0.629955947136564</v>
      </c>
      <c r="J37" s="6" t="str">
        <f aca="false">IF(E37&lt;G37,"LOSS",IF(E37&lt;H37*1.1,"THIN / RISK",IF(E37&gt;H37*1.8,"OVERPRICED?","OK")))</f>
        <v>LOSS</v>
      </c>
      <c r="K37" s="8" t="n">
        <f aca="false">IF(J37="OVERPRICED?",ROUND(H37*1.35,-1),MAX(E37,ROUND(H37*(1+$E$3),-1)))</f>
        <v>11060</v>
      </c>
      <c r="L37" s="8" t="n">
        <f aca="false">D37*E37</f>
        <v>17706</v>
      </c>
      <c r="M37" s="8" t="n">
        <f aca="false">D37*K37</f>
        <v>33180</v>
      </c>
      <c r="N37" s="8" t="n">
        <f aca="false">D37*H37</f>
        <v>28860</v>
      </c>
      <c r="O37" s="6" t="str">
        <f aca="false">IF(ISNUMBER(SEARCH(C37,F37)),"","YES")</f>
        <v/>
      </c>
      <c r="P37" s="6" t="s">
        <v>44</v>
      </c>
      <c r="Q37" s="7" t="s">
        <v>97</v>
      </c>
      <c r="R37" s="7"/>
    </row>
    <row r="38" customFormat="false" ht="15" hidden="false" customHeight="false" outlineLevel="0" collapsed="false">
      <c r="A38" s="6" t="n">
        <v>34</v>
      </c>
      <c r="B38" s="7" t="s">
        <v>98</v>
      </c>
      <c r="C38" s="6" t="s">
        <v>28</v>
      </c>
      <c r="D38" s="6" t="n">
        <v>2</v>
      </c>
      <c r="E38" s="8" t="n">
        <v>6120</v>
      </c>
      <c r="F38" s="7" t="s">
        <v>54</v>
      </c>
      <c r="G38" s="9" t="n">
        <v>6560</v>
      </c>
      <c r="H38" s="9" t="n">
        <v>6560</v>
      </c>
      <c r="I38" s="10" t="n">
        <f aca="false">IF(E38=0,0,(E38-H38)/E38)</f>
        <v>-0.0718954248366013</v>
      </c>
      <c r="J38" s="6" t="str">
        <f aca="false">IF(E38&lt;G38,"LOSS",IF(E38&lt;H38*1.1,"THIN / RISK",IF(E38&gt;H38*1.8,"OVERPRICED?","OK")))</f>
        <v>LOSS</v>
      </c>
      <c r="K38" s="8" t="n">
        <f aca="false">IF(J38="OVERPRICED?",ROUND(H38*1.35,-1),MAX(E38,ROUND(H38*(1+$E$3),-1)))</f>
        <v>7540</v>
      </c>
      <c r="L38" s="8" t="n">
        <f aca="false">D38*E38</f>
        <v>12240</v>
      </c>
      <c r="M38" s="8" t="n">
        <f aca="false">D38*K38</f>
        <v>15080</v>
      </c>
      <c r="N38" s="8" t="n">
        <f aca="false">D38*H38</f>
        <v>13120</v>
      </c>
      <c r="O38" s="6" t="str">
        <f aca="false">IF(ISNUMBER(SEARCH(C38,F38)),"","YES")</f>
        <v>YES</v>
      </c>
      <c r="P38" s="6" t="s">
        <v>44</v>
      </c>
      <c r="Q38" s="7" t="s">
        <v>99</v>
      </c>
      <c r="R38" s="7"/>
    </row>
    <row r="39" customFormat="false" ht="22.35" hidden="false" customHeight="false" outlineLevel="0" collapsed="false">
      <c r="A39" s="6" t="n">
        <v>35</v>
      </c>
      <c r="B39" s="7" t="s">
        <v>100</v>
      </c>
      <c r="C39" s="6" t="s">
        <v>28</v>
      </c>
      <c r="D39" s="6" t="n">
        <v>2</v>
      </c>
      <c r="E39" s="8" t="n">
        <v>12870</v>
      </c>
      <c r="F39" s="7" t="s">
        <v>43</v>
      </c>
      <c r="G39" s="9" t="n">
        <v>7900</v>
      </c>
      <c r="H39" s="9" t="n">
        <v>7900</v>
      </c>
      <c r="I39" s="10" t="n">
        <f aca="false">IF(E39=0,0,(E39-H39)/E39)</f>
        <v>0.386169386169386</v>
      </c>
      <c r="J39" s="6" t="str">
        <f aca="false">IF(E39&lt;G39,"LOSS",IF(E39&lt;H39*1.1,"THIN / RISK",IF(E39&gt;H39*1.8,"OVERPRICED?","OK")))</f>
        <v>OK</v>
      </c>
      <c r="K39" s="8" t="n">
        <f aca="false">IF(J39="OVERPRICED?",ROUND(H39*1.35,-1),MAX(E39,ROUND(H39*(1+$E$3),-1)))</f>
        <v>12870</v>
      </c>
      <c r="L39" s="8" t="n">
        <f aca="false">D39*E39</f>
        <v>25740</v>
      </c>
      <c r="M39" s="8" t="n">
        <f aca="false">D39*K39</f>
        <v>25740</v>
      </c>
      <c r="N39" s="8" t="n">
        <f aca="false">D39*H39</f>
        <v>15800</v>
      </c>
      <c r="O39" s="6" t="str">
        <f aca="false">IF(ISNUMBER(SEARCH(C39,F39)),"","YES")</f>
        <v>YES</v>
      </c>
      <c r="P39" s="6" t="s">
        <v>44</v>
      </c>
      <c r="Q39" s="7" t="s">
        <v>101</v>
      </c>
      <c r="R39" s="7"/>
    </row>
    <row r="40" customFormat="false" ht="22.35" hidden="false" customHeight="false" outlineLevel="0" collapsed="false">
      <c r="A40" s="6" t="n">
        <v>36</v>
      </c>
      <c r="B40" s="7" t="s">
        <v>102</v>
      </c>
      <c r="C40" s="6" t="s">
        <v>28</v>
      </c>
      <c r="D40" s="6" t="n">
        <v>3</v>
      </c>
      <c r="E40" s="8" t="n">
        <v>1950</v>
      </c>
      <c r="F40" s="7" t="s">
        <v>43</v>
      </c>
      <c r="G40" s="9" t="n">
        <v>2000</v>
      </c>
      <c r="H40" s="9" t="n">
        <v>2000</v>
      </c>
      <c r="I40" s="10" t="n">
        <f aca="false">IF(E40=0,0,(E40-H40)/E40)</f>
        <v>-0.0256410256410256</v>
      </c>
      <c r="J40" s="6" t="str">
        <f aca="false">IF(E40&lt;G40,"LOSS",IF(E40&lt;H40*1.1,"THIN / RISK",IF(E40&gt;H40*1.8,"OVERPRICED?","OK")))</f>
        <v>LOSS</v>
      </c>
      <c r="K40" s="8" t="n">
        <f aca="false">IF(J40="OVERPRICED?",ROUND(H40*1.35,-1),MAX(E40,ROUND(H40*(1+$E$3),-1)))</f>
        <v>2300</v>
      </c>
      <c r="L40" s="8" t="n">
        <f aca="false">D40*E40</f>
        <v>5850</v>
      </c>
      <c r="M40" s="8" t="n">
        <f aca="false">D40*K40</f>
        <v>6900</v>
      </c>
      <c r="N40" s="8" t="n">
        <f aca="false">D40*H40</f>
        <v>6000</v>
      </c>
      <c r="O40" s="6" t="str">
        <f aca="false">IF(ISNUMBER(SEARCH(C40,F40)),"","YES")</f>
        <v>YES</v>
      </c>
      <c r="P40" s="6" t="s">
        <v>24</v>
      </c>
      <c r="Q40" s="7" t="s">
        <v>103</v>
      </c>
      <c r="R40" s="7" t="s">
        <v>26</v>
      </c>
    </row>
    <row r="41" customFormat="false" ht="22.35" hidden="false" customHeight="false" outlineLevel="0" collapsed="false">
      <c r="A41" s="6" t="n">
        <v>37</v>
      </c>
      <c r="B41" s="7" t="s">
        <v>104</v>
      </c>
      <c r="C41" s="6" t="s">
        <v>28</v>
      </c>
      <c r="D41" s="6" t="n">
        <v>3</v>
      </c>
      <c r="E41" s="8" t="n">
        <v>4550</v>
      </c>
      <c r="F41" s="7" t="s">
        <v>54</v>
      </c>
      <c r="G41" s="9" t="n">
        <v>3380</v>
      </c>
      <c r="H41" s="9" t="n">
        <v>3380</v>
      </c>
      <c r="I41" s="10" t="n">
        <f aca="false">IF(E41=0,0,(E41-H41)/E41)</f>
        <v>0.257142857142857</v>
      </c>
      <c r="J41" s="6" t="str">
        <f aca="false">IF(E41&lt;G41,"LOSS",IF(E41&lt;H41*1.1,"THIN / RISK",IF(E41&gt;H41*1.8,"OVERPRICED?","OK")))</f>
        <v>OK</v>
      </c>
      <c r="K41" s="8" t="n">
        <f aca="false">IF(J41="OVERPRICED?",ROUND(H41*1.35,-1),MAX(E41,ROUND(H41*(1+$E$3),-1)))</f>
        <v>4550</v>
      </c>
      <c r="L41" s="8" t="n">
        <f aca="false">D41*E41</f>
        <v>13650</v>
      </c>
      <c r="M41" s="8" t="n">
        <f aca="false">D41*K41</f>
        <v>13650</v>
      </c>
      <c r="N41" s="8" t="n">
        <f aca="false">D41*H41</f>
        <v>10140</v>
      </c>
      <c r="O41" s="6" t="str">
        <f aca="false">IF(ISNUMBER(SEARCH(C41,F41)),"","YES")</f>
        <v>YES</v>
      </c>
      <c r="P41" s="6" t="s">
        <v>44</v>
      </c>
      <c r="Q41" s="7" t="s">
        <v>105</v>
      </c>
      <c r="R41" s="7"/>
    </row>
    <row r="42" customFormat="false" ht="22.35" hidden="false" customHeight="false" outlineLevel="0" collapsed="false">
      <c r="A42" s="6" t="n">
        <v>38</v>
      </c>
      <c r="B42" s="7" t="s">
        <v>106</v>
      </c>
      <c r="C42" s="6" t="s">
        <v>28</v>
      </c>
      <c r="D42" s="6" t="n">
        <v>3</v>
      </c>
      <c r="E42" s="8" t="n">
        <v>6240</v>
      </c>
      <c r="F42" s="7" t="s">
        <v>54</v>
      </c>
      <c r="G42" s="9" t="n">
        <v>2450</v>
      </c>
      <c r="H42" s="9" t="n">
        <v>2450</v>
      </c>
      <c r="I42" s="10" t="n">
        <f aca="false">IF(E42=0,0,(E42-H42)/E42)</f>
        <v>0.607371794871795</v>
      </c>
      <c r="J42" s="6" t="str">
        <f aca="false">IF(E42&lt;G42,"LOSS",IF(E42&lt;H42*1.1,"THIN / RISK",IF(E42&gt;H42*1.8,"OVERPRICED?","OK")))</f>
        <v>OVERPRICED?</v>
      </c>
      <c r="K42" s="8" t="n">
        <f aca="false">IF(J42="OVERPRICED?",ROUND(H42*1.35,-1),MAX(E42,ROUND(H42*(1+$E$3),-1)))</f>
        <v>3310</v>
      </c>
      <c r="L42" s="8" t="n">
        <f aca="false">D42*E42</f>
        <v>18720</v>
      </c>
      <c r="M42" s="8" t="n">
        <f aca="false">D42*K42</f>
        <v>9930</v>
      </c>
      <c r="N42" s="8" t="n">
        <f aca="false">D42*H42</f>
        <v>7350</v>
      </c>
      <c r="O42" s="6" t="str">
        <f aca="false">IF(ISNUMBER(SEARCH(C42,F42)),"","YES")</f>
        <v>YES</v>
      </c>
      <c r="P42" s="6" t="s">
        <v>44</v>
      </c>
      <c r="Q42" s="7" t="s">
        <v>107</v>
      </c>
      <c r="R42" s="7"/>
    </row>
    <row r="43" customFormat="false" ht="22.35" hidden="false" customHeight="false" outlineLevel="0" collapsed="false">
      <c r="A43" s="6" t="n">
        <v>39</v>
      </c>
      <c r="B43" s="7" t="s">
        <v>108</v>
      </c>
      <c r="C43" s="6" t="s">
        <v>28</v>
      </c>
      <c r="D43" s="6" t="n">
        <v>3</v>
      </c>
      <c r="E43" s="8" t="n">
        <v>1950</v>
      </c>
      <c r="F43" s="7" t="s">
        <v>28</v>
      </c>
      <c r="G43" s="9" t="n">
        <v>4000</v>
      </c>
      <c r="H43" s="9" t="n">
        <v>4000</v>
      </c>
      <c r="I43" s="10" t="n">
        <f aca="false">IF(E43=0,0,(E43-H43)/E43)</f>
        <v>-1.05128205128205</v>
      </c>
      <c r="J43" s="6" t="str">
        <f aca="false">IF(E43&lt;G43,"LOSS",IF(E43&lt;H43*1.1,"THIN / RISK",IF(E43&gt;H43*1.8,"OVERPRICED?","OK")))</f>
        <v>LOSS</v>
      </c>
      <c r="K43" s="8" t="n">
        <f aca="false">IF(J43="OVERPRICED?",ROUND(H43*1.35,-1),MAX(E43,ROUND(H43*(1+$E$3),-1)))</f>
        <v>4600</v>
      </c>
      <c r="L43" s="8" t="n">
        <f aca="false">D43*E43</f>
        <v>5850</v>
      </c>
      <c r="M43" s="8" t="n">
        <f aca="false">D43*K43</f>
        <v>13800</v>
      </c>
      <c r="N43" s="8" t="n">
        <f aca="false">D43*H43</f>
        <v>12000</v>
      </c>
      <c r="O43" s="6" t="str">
        <f aca="false">IF(ISNUMBER(SEARCH(C43,F43)),"","YES")</f>
        <v/>
      </c>
      <c r="P43" s="6" t="s">
        <v>24</v>
      </c>
      <c r="Q43" s="7" t="s">
        <v>109</v>
      </c>
      <c r="R43" s="7" t="s">
        <v>26</v>
      </c>
    </row>
    <row r="44" customFormat="false" ht="22.35" hidden="false" customHeight="false" outlineLevel="0" collapsed="false">
      <c r="A44" s="6" t="n">
        <v>40</v>
      </c>
      <c r="B44" s="7" t="s">
        <v>110</v>
      </c>
      <c r="C44" s="6" t="s">
        <v>111</v>
      </c>
      <c r="D44" s="6" t="n">
        <v>3</v>
      </c>
      <c r="E44" s="8" t="n">
        <v>79300</v>
      </c>
      <c r="F44" s="7" t="s">
        <v>111</v>
      </c>
      <c r="G44" s="9" t="n">
        <v>79000</v>
      </c>
      <c r="H44" s="9" t="n">
        <v>79000</v>
      </c>
      <c r="I44" s="10" t="n">
        <f aca="false">IF(E44=0,0,(E44-H44)/E44)</f>
        <v>0.00378310214375788</v>
      </c>
      <c r="J44" s="6" t="str">
        <f aca="false">IF(E44&lt;G44,"LOSS",IF(E44&lt;H44*1.1,"THIN / RISK",IF(E44&gt;H44*1.8,"OVERPRICED?","OK")))</f>
        <v>THIN / RISK</v>
      </c>
      <c r="K44" s="8" t="n">
        <f aca="false">IF(J44="OVERPRICED?",ROUND(H44*1.35,-1),MAX(E44,ROUND(H44*(1+$E$3),-1)))</f>
        <v>90850</v>
      </c>
      <c r="L44" s="8" t="n">
        <f aca="false">D44*E44</f>
        <v>237900</v>
      </c>
      <c r="M44" s="8" t="n">
        <f aca="false">D44*K44</f>
        <v>272550</v>
      </c>
      <c r="N44" s="8" t="n">
        <f aca="false">D44*H44</f>
        <v>237000</v>
      </c>
      <c r="O44" s="6" t="str">
        <f aca="false">IF(ISNUMBER(SEARCH(C44,F44)),"","YES")</f>
        <v/>
      </c>
      <c r="P44" s="6" t="s">
        <v>44</v>
      </c>
      <c r="Q44" s="7" t="s">
        <v>112</v>
      </c>
      <c r="R44" s="7"/>
    </row>
    <row r="45" customFormat="false" ht="32.8" hidden="false" customHeight="false" outlineLevel="0" collapsed="false">
      <c r="A45" s="6" t="n">
        <v>41</v>
      </c>
      <c r="B45" s="7" t="s">
        <v>113</v>
      </c>
      <c r="C45" s="6" t="s">
        <v>111</v>
      </c>
      <c r="D45" s="6" t="n">
        <v>3</v>
      </c>
      <c r="E45" s="8" t="n">
        <v>128700</v>
      </c>
      <c r="F45" s="7" t="s">
        <v>114</v>
      </c>
      <c r="G45" s="9" t="n">
        <v>80000</v>
      </c>
      <c r="H45" s="9" t="n">
        <v>100000</v>
      </c>
      <c r="I45" s="10" t="n">
        <f aca="false">IF(E45=0,0,(E45-H45)/E45)</f>
        <v>0.222999222999223</v>
      </c>
      <c r="J45" s="6" t="str">
        <f aca="false">IF(E45&lt;G45,"LOSS",IF(E45&lt;H45*1.1,"THIN / RISK",IF(E45&gt;H45*1.8,"OVERPRICED?","OK")))</f>
        <v>OK</v>
      </c>
      <c r="K45" s="8" t="n">
        <f aca="false">IF(J45="OVERPRICED?",ROUND(H45*1.35,-1),MAX(E45,ROUND(H45*(1+$E$3),-1)))</f>
        <v>128700</v>
      </c>
      <c r="L45" s="8" t="n">
        <f aca="false">D45*E45</f>
        <v>386100</v>
      </c>
      <c r="M45" s="8" t="n">
        <f aca="false">D45*K45</f>
        <v>386100</v>
      </c>
      <c r="N45" s="8" t="n">
        <f aca="false">D45*H45</f>
        <v>300000</v>
      </c>
      <c r="O45" s="6" t="str">
        <f aca="false">IF(ISNUMBER(SEARCH(C45,F45)),"","YES")</f>
        <v/>
      </c>
      <c r="P45" s="6" t="s">
        <v>30</v>
      </c>
      <c r="Q45" s="7" t="s">
        <v>115</v>
      </c>
      <c r="R45" s="7" t="s">
        <v>116</v>
      </c>
    </row>
    <row r="46" customFormat="false" ht="22.35" hidden="false" customHeight="false" outlineLevel="0" collapsed="false">
      <c r="A46" s="6" t="n">
        <v>42</v>
      </c>
      <c r="B46" s="7" t="s">
        <v>117</v>
      </c>
      <c r="C46" s="6" t="s">
        <v>111</v>
      </c>
      <c r="D46" s="6" t="n">
        <v>2</v>
      </c>
      <c r="E46" s="8" t="n">
        <v>106600</v>
      </c>
      <c r="F46" s="7" t="s">
        <v>111</v>
      </c>
      <c r="G46" s="9" t="n">
        <v>143800</v>
      </c>
      <c r="H46" s="9" t="n">
        <v>143800</v>
      </c>
      <c r="I46" s="10" t="n">
        <f aca="false">IF(E46=0,0,(E46-H46)/E46)</f>
        <v>-0.348968105065666</v>
      </c>
      <c r="J46" s="6" t="str">
        <f aca="false">IF(E46&lt;G46,"LOSS",IF(E46&lt;H46*1.1,"THIN / RISK",IF(E46&gt;H46*1.8,"OVERPRICED?","OK")))</f>
        <v>LOSS</v>
      </c>
      <c r="K46" s="8" t="n">
        <f aca="false">IF(J46="OVERPRICED?",ROUND(H46*1.35,-1),MAX(E46,ROUND(H46*(1+$E$3),-1)))</f>
        <v>165370</v>
      </c>
      <c r="L46" s="8" t="n">
        <f aca="false">D46*E46</f>
        <v>213200</v>
      </c>
      <c r="M46" s="8" t="n">
        <f aca="false">D46*K46</f>
        <v>330740</v>
      </c>
      <c r="N46" s="8" t="n">
        <f aca="false">D46*H46</f>
        <v>287600</v>
      </c>
      <c r="O46" s="6" t="str">
        <f aca="false">IF(ISNUMBER(SEARCH(C46,F46)),"","YES")</f>
        <v/>
      </c>
      <c r="P46" s="6" t="s">
        <v>44</v>
      </c>
      <c r="Q46" s="7" t="s">
        <v>118</v>
      </c>
      <c r="R46" s="7"/>
    </row>
    <row r="47" customFormat="false" ht="22.35" hidden="false" customHeight="false" outlineLevel="0" collapsed="false">
      <c r="A47" s="6" t="n">
        <v>43</v>
      </c>
      <c r="B47" s="7" t="s">
        <v>119</v>
      </c>
      <c r="C47" s="6" t="s">
        <v>28</v>
      </c>
      <c r="D47" s="6" t="n">
        <v>4</v>
      </c>
      <c r="E47" s="8" t="n">
        <v>1560</v>
      </c>
      <c r="F47" s="7" t="s">
        <v>28</v>
      </c>
      <c r="G47" s="9" t="n">
        <v>1300</v>
      </c>
      <c r="H47" s="9" t="n">
        <v>1600</v>
      </c>
      <c r="I47" s="10" t="n">
        <f aca="false">IF(E47=0,0,(E47-H47)/E47)</f>
        <v>-0.0256410256410256</v>
      </c>
      <c r="J47" s="6" t="str">
        <f aca="false">IF(E47&lt;G47,"LOSS",IF(E47&lt;H47*1.1,"THIN / RISK",IF(E47&gt;H47*1.8,"OVERPRICED?","OK")))</f>
        <v>THIN / RISK</v>
      </c>
      <c r="K47" s="8" t="n">
        <f aca="false">IF(J47="OVERPRICED?",ROUND(H47*1.35,-1),MAX(E47,ROUND(H47*(1+$E$3),-1)))</f>
        <v>1840</v>
      </c>
      <c r="L47" s="8" t="n">
        <f aca="false">D47*E47</f>
        <v>6240</v>
      </c>
      <c r="M47" s="8" t="n">
        <f aca="false">D47*K47</f>
        <v>7360</v>
      </c>
      <c r="N47" s="8" t="n">
        <f aca="false">D47*H47</f>
        <v>6400</v>
      </c>
      <c r="O47" s="6" t="str">
        <f aca="false">IF(ISNUMBER(SEARCH(C47,F47)),"","YES")</f>
        <v/>
      </c>
      <c r="P47" s="6" t="s">
        <v>30</v>
      </c>
      <c r="Q47" s="7" t="s">
        <v>120</v>
      </c>
      <c r="R47" s="7" t="s">
        <v>32</v>
      </c>
    </row>
    <row r="48" customFormat="false" ht="15" hidden="false" customHeight="false" outlineLevel="0" collapsed="false">
      <c r="A48" s="6" t="n">
        <v>44</v>
      </c>
      <c r="B48" s="7" t="s">
        <v>121</v>
      </c>
      <c r="C48" s="6" t="s">
        <v>28</v>
      </c>
      <c r="D48" s="6" t="n">
        <v>4</v>
      </c>
      <c r="E48" s="8" t="n">
        <v>1950</v>
      </c>
      <c r="F48" s="7" t="s">
        <v>122</v>
      </c>
      <c r="G48" s="9" t="n">
        <v>1750</v>
      </c>
      <c r="H48" s="9" t="n">
        <v>1750</v>
      </c>
      <c r="I48" s="10" t="n">
        <f aca="false">IF(E48=0,0,(E48-H48)/E48)</f>
        <v>0.102564102564103</v>
      </c>
      <c r="J48" s="6" t="str">
        <f aca="false">IF(E48&lt;G48,"LOSS",IF(E48&lt;H48*1.1,"THIN / RISK",IF(E48&gt;H48*1.8,"OVERPRICED?","OK")))</f>
        <v>OK</v>
      </c>
      <c r="K48" s="8" t="n">
        <f aca="false">IF(J48="OVERPRICED?",ROUND(H48*1.35,-1),MAX(E48,ROUND(H48*(1+$E$3),-1)))</f>
        <v>2010</v>
      </c>
      <c r="L48" s="8" t="n">
        <f aca="false">D48*E48</f>
        <v>7800</v>
      </c>
      <c r="M48" s="8" t="n">
        <f aca="false">D48*K48</f>
        <v>8040</v>
      </c>
      <c r="N48" s="8" t="n">
        <f aca="false">D48*H48</f>
        <v>7000</v>
      </c>
      <c r="O48" s="6" t="str">
        <f aca="false">IF(ISNUMBER(SEARCH(C48,F48)),"","YES")</f>
        <v>YES</v>
      </c>
      <c r="P48" s="6" t="s">
        <v>44</v>
      </c>
      <c r="Q48" s="7" t="s">
        <v>123</v>
      </c>
      <c r="R48" s="7"/>
    </row>
    <row r="49" customFormat="false" ht="22.35" hidden="false" customHeight="false" outlineLevel="0" collapsed="false">
      <c r="A49" s="6" t="n">
        <v>45</v>
      </c>
      <c r="B49" s="7" t="s">
        <v>124</v>
      </c>
      <c r="C49" s="6" t="s">
        <v>28</v>
      </c>
      <c r="D49" s="6" t="n">
        <v>4</v>
      </c>
      <c r="E49" s="8" t="n">
        <v>2210</v>
      </c>
      <c r="F49" s="7" t="s">
        <v>122</v>
      </c>
      <c r="G49" s="9" t="n">
        <v>1750</v>
      </c>
      <c r="H49" s="9" t="n">
        <v>2000</v>
      </c>
      <c r="I49" s="10" t="n">
        <f aca="false">IF(E49=0,0,(E49-H49)/E49)</f>
        <v>0.0950226244343891</v>
      </c>
      <c r="J49" s="6" t="str">
        <f aca="false">IF(E49&lt;G49,"LOSS",IF(E49&lt;H49*1.1,"THIN / RISK",IF(E49&gt;H49*1.8,"OVERPRICED?","OK")))</f>
        <v>OK</v>
      </c>
      <c r="K49" s="8" t="n">
        <f aca="false">IF(J49="OVERPRICED?",ROUND(H49*1.35,-1),MAX(E49,ROUND(H49*(1+$E$3),-1)))</f>
        <v>2300</v>
      </c>
      <c r="L49" s="8" t="n">
        <f aca="false">D49*E49</f>
        <v>8840</v>
      </c>
      <c r="M49" s="8" t="n">
        <f aca="false">D49*K49</f>
        <v>9200</v>
      </c>
      <c r="N49" s="8" t="n">
        <f aca="false">D49*H49</f>
        <v>8000</v>
      </c>
      <c r="O49" s="6" t="str">
        <f aca="false">IF(ISNUMBER(SEARCH(C49,F49)),"","YES")</f>
        <v>YES</v>
      </c>
      <c r="P49" s="6" t="s">
        <v>30</v>
      </c>
      <c r="Q49" s="7" t="s">
        <v>125</v>
      </c>
      <c r="R49" s="7" t="s">
        <v>126</v>
      </c>
    </row>
    <row r="50" customFormat="false" ht="22.35" hidden="false" customHeight="false" outlineLevel="0" collapsed="false">
      <c r="A50" s="6" t="n">
        <v>47</v>
      </c>
      <c r="B50" s="7" t="s">
        <v>127</v>
      </c>
      <c r="C50" s="6" t="s">
        <v>28</v>
      </c>
      <c r="D50" s="6" t="n">
        <v>3</v>
      </c>
      <c r="E50" s="8" t="n">
        <v>13000</v>
      </c>
      <c r="F50" s="7" t="s">
        <v>28</v>
      </c>
      <c r="G50" s="9" t="n">
        <v>15000</v>
      </c>
      <c r="H50" s="9" t="n">
        <v>20000</v>
      </c>
      <c r="I50" s="10" t="n">
        <f aca="false">IF(E50=0,0,(E50-H50)/E50)</f>
        <v>-0.538461538461538</v>
      </c>
      <c r="J50" s="6" t="str">
        <f aca="false">IF(E50&lt;G50,"LOSS",IF(E50&lt;H50*1.1,"THIN / RISK",IF(E50&gt;H50*1.8,"OVERPRICED?","OK")))</f>
        <v>LOSS</v>
      </c>
      <c r="K50" s="8" t="n">
        <f aca="false">IF(J50="OVERPRICED?",ROUND(H50*1.35,-1),MAX(E50,ROUND(H50*(1+$E$3),-1)))</f>
        <v>23000</v>
      </c>
      <c r="L50" s="8" t="n">
        <f aca="false">D50*E50</f>
        <v>39000</v>
      </c>
      <c r="M50" s="8" t="n">
        <f aca="false">D50*K50</f>
        <v>69000</v>
      </c>
      <c r="N50" s="8" t="n">
        <f aca="false">D50*H50</f>
        <v>60000</v>
      </c>
      <c r="O50" s="6" t="str">
        <f aca="false">IF(ISNUMBER(SEARCH(C50,F50)),"","YES")</f>
        <v/>
      </c>
      <c r="P50" s="6" t="s">
        <v>30</v>
      </c>
      <c r="Q50" s="7" t="s">
        <v>128</v>
      </c>
      <c r="R50" s="7" t="s">
        <v>32</v>
      </c>
    </row>
    <row r="51" customFormat="false" ht="22.35" hidden="false" customHeight="false" outlineLevel="0" collapsed="false">
      <c r="A51" s="6" t="n">
        <v>48</v>
      </c>
      <c r="B51" s="7" t="s">
        <v>129</v>
      </c>
      <c r="C51" s="6" t="s">
        <v>28</v>
      </c>
      <c r="D51" s="6" t="n">
        <v>2</v>
      </c>
      <c r="E51" s="8" t="n">
        <v>15600</v>
      </c>
      <c r="F51" s="7" t="s">
        <v>28</v>
      </c>
      <c r="G51" s="9" t="n">
        <v>20000</v>
      </c>
      <c r="H51" s="9" t="n">
        <v>26000</v>
      </c>
      <c r="I51" s="10" t="n">
        <f aca="false">IF(E51=0,0,(E51-H51)/E51)</f>
        <v>-0.666666666666667</v>
      </c>
      <c r="J51" s="6" t="str">
        <f aca="false">IF(E51&lt;G51,"LOSS",IF(E51&lt;H51*1.1,"THIN / RISK",IF(E51&gt;H51*1.8,"OVERPRICED?","OK")))</f>
        <v>LOSS</v>
      </c>
      <c r="K51" s="8" t="n">
        <f aca="false">IF(J51="OVERPRICED?",ROUND(H51*1.35,-1),MAX(E51,ROUND(H51*(1+$E$3),-1)))</f>
        <v>29900</v>
      </c>
      <c r="L51" s="8" t="n">
        <f aca="false">D51*E51</f>
        <v>31200</v>
      </c>
      <c r="M51" s="8" t="n">
        <f aca="false">D51*K51</f>
        <v>59800</v>
      </c>
      <c r="N51" s="8" t="n">
        <f aca="false">D51*H51</f>
        <v>52000</v>
      </c>
      <c r="O51" s="6" t="str">
        <f aca="false">IF(ISNUMBER(SEARCH(C51,F51)),"","YES")</f>
        <v/>
      </c>
      <c r="P51" s="6" t="s">
        <v>30</v>
      </c>
      <c r="Q51" s="7" t="s">
        <v>130</v>
      </c>
      <c r="R51" s="7" t="s">
        <v>32</v>
      </c>
    </row>
    <row r="52" customFormat="false" ht="22.35" hidden="false" customHeight="false" outlineLevel="0" collapsed="false">
      <c r="A52" s="6" t="n">
        <v>49</v>
      </c>
      <c r="B52" s="7" t="s">
        <v>131</v>
      </c>
      <c r="C52" s="6" t="s">
        <v>28</v>
      </c>
      <c r="D52" s="6" t="n">
        <v>1</v>
      </c>
      <c r="E52" s="8" t="n">
        <v>20800</v>
      </c>
      <c r="F52" s="7" t="s">
        <v>28</v>
      </c>
      <c r="G52" s="9" t="n">
        <v>24000</v>
      </c>
      <c r="H52" s="9" t="n">
        <v>30000</v>
      </c>
      <c r="I52" s="10" t="n">
        <f aca="false">IF(E52=0,0,(E52-H52)/E52)</f>
        <v>-0.442307692307692</v>
      </c>
      <c r="J52" s="6" t="str">
        <f aca="false">IF(E52&lt;G52,"LOSS",IF(E52&lt;H52*1.1,"THIN / RISK",IF(E52&gt;H52*1.8,"OVERPRICED?","OK")))</f>
        <v>LOSS</v>
      </c>
      <c r="K52" s="8" t="n">
        <f aca="false">IF(J52="OVERPRICED?",ROUND(H52*1.35,-1),MAX(E52,ROUND(H52*(1+$E$3),-1)))</f>
        <v>34500</v>
      </c>
      <c r="L52" s="8" t="n">
        <f aca="false">D52*E52</f>
        <v>20800</v>
      </c>
      <c r="M52" s="8" t="n">
        <f aca="false">D52*K52</f>
        <v>34500</v>
      </c>
      <c r="N52" s="8" t="n">
        <f aca="false">D52*H52</f>
        <v>30000</v>
      </c>
      <c r="O52" s="6" t="str">
        <f aca="false">IF(ISNUMBER(SEARCH(C52,F52)),"","YES")</f>
        <v/>
      </c>
      <c r="P52" s="6" t="s">
        <v>30</v>
      </c>
      <c r="Q52" s="7" t="s">
        <v>132</v>
      </c>
      <c r="R52" s="7" t="s">
        <v>32</v>
      </c>
    </row>
    <row r="53" customFormat="false" ht="22.35" hidden="false" customHeight="false" outlineLevel="0" collapsed="false">
      <c r="A53" s="6" t="n">
        <v>50</v>
      </c>
      <c r="B53" s="7" t="s">
        <v>133</v>
      </c>
      <c r="C53" s="6" t="s">
        <v>28</v>
      </c>
      <c r="D53" s="6" t="n">
        <v>1</v>
      </c>
      <c r="E53" s="8" t="n">
        <v>28600</v>
      </c>
      <c r="F53" s="7" t="s">
        <v>28</v>
      </c>
      <c r="G53" s="9" t="n">
        <v>32000</v>
      </c>
      <c r="H53" s="9" t="n">
        <v>40000</v>
      </c>
      <c r="I53" s="10" t="n">
        <f aca="false">IF(E53=0,0,(E53-H53)/E53)</f>
        <v>-0.398601398601399</v>
      </c>
      <c r="J53" s="6" t="str">
        <f aca="false">IF(E53&lt;G53,"LOSS",IF(E53&lt;H53*1.1,"THIN / RISK",IF(E53&gt;H53*1.8,"OVERPRICED?","OK")))</f>
        <v>LOSS</v>
      </c>
      <c r="K53" s="8" t="n">
        <f aca="false">IF(J53="OVERPRICED?",ROUND(H53*1.35,-1),MAX(E53,ROUND(H53*(1+$E$3),-1)))</f>
        <v>46000</v>
      </c>
      <c r="L53" s="8" t="n">
        <f aca="false">D53*E53</f>
        <v>28600</v>
      </c>
      <c r="M53" s="8" t="n">
        <f aca="false">D53*K53</f>
        <v>46000</v>
      </c>
      <c r="N53" s="8" t="n">
        <f aca="false">D53*H53</f>
        <v>40000</v>
      </c>
      <c r="O53" s="6" t="str">
        <f aca="false">IF(ISNUMBER(SEARCH(C53,F53)),"","YES")</f>
        <v/>
      </c>
      <c r="P53" s="6" t="s">
        <v>30</v>
      </c>
      <c r="Q53" s="7" t="s">
        <v>134</v>
      </c>
      <c r="R53" s="7" t="s">
        <v>32</v>
      </c>
    </row>
    <row r="54" customFormat="false" ht="22.35" hidden="false" customHeight="false" outlineLevel="0" collapsed="false">
      <c r="A54" s="6" t="n">
        <v>51</v>
      </c>
      <c r="B54" s="7" t="s">
        <v>135</v>
      </c>
      <c r="C54" s="6" t="s">
        <v>28</v>
      </c>
      <c r="D54" s="6" t="n">
        <v>1</v>
      </c>
      <c r="E54" s="8" t="n">
        <v>32500</v>
      </c>
      <c r="F54" s="7" t="s">
        <v>28</v>
      </c>
      <c r="G54" s="9" t="n">
        <v>32000</v>
      </c>
      <c r="H54" s="9" t="n">
        <v>42000</v>
      </c>
      <c r="I54" s="10" t="n">
        <f aca="false">IF(E54=0,0,(E54-H54)/E54)</f>
        <v>-0.292307692307692</v>
      </c>
      <c r="J54" s="6" t="str">
        <f aca="false">IF(E54&lt;G54,"LOSS",IF(E54&lt;H54*1.1,"THIN / RISK",IF(E54&gt;H54*1.8,"OVERPRICED?","OK")))</f>
        <v>THIN / RISK</v>
      </c>
      <c r="K54" s="8" t="n">
        <f aca="false">IF(J54="OVERPRICED?",ROUND(H54*1.35,-1),MAX(E54,ROUND(H54*(1+$E$3),-1)))</f>
        <v>48300</v>
      </c>
      <c r="L54" s="8" t="n">
        <f aca="false">D54*E54</f>
        <v>32500</v>
      </c>
      <c r="M54" s="8" t="n">
        <f aca="false">D54*K54</f>
        <v>48300</v>
      </c>
      <c r="N54" s="8" t="n">
        <f aca="false">D54*H54</f>
        <v>42000</v>
      </c>
      <c r="O54" s="6" t="str">
        <f aca="false">IF(ISNUMBER(SEARCH(C54,F54)),"","YES")</f>
        <v/>
      </c>
      <c r="P54" s="6" t="s">
        <v>30</v>
      </c>
      <c r="Q54" s="7" t="s">
        <v>136</v>
      </c>
      <c r="R54" s="7" t="s">
        <v>32</v>
      </c>
    </row>
    <row r="55" customFormat="false" ht="22.35" hidden="false" customHeight="false" outlineLevel="0" collapsed="false">
      <c r="A55" s="6" t="n">
        <v>52</v>
      </c>
      <c r="B55" s="7" t="s">
        <v>137</v>
      </c>
      <c r="C55" s="6" t="s">
        <v>28</v>
      </c>
      <c r="D55" s="6" t="n">
        <v>2</v>
      </c>
      <c r="E55" s="8" t="n">
        <v>18200</v>
      </c>
      <c r="F55" s="7" t="s">
        <v>122</v>
      </c>
      <c r="G55" s="9" t="n">
        <v>8500</v>
      </c>
      <c r="H55" s="9" t="n">
        <v>8500</v>
      </c>
      <c r="I55" s="10" t="n">
        <f aca="false">IF(E55=0,0,(E55-H55)/E55)</f>
        <v>0.532967032967033</v>
      </c>
      <c r="J55" s="6" t="str">
        <f aca="false">IF(E55&lt;G55,"LOSS",IF(E55&lt;H55*1.1,"THIN / RISK",IF(E55&gt;H55*1.8,"OVERPRICED?","OK")))</f>
        <v>OVERPRICED?</v>
      </c>
      <c r="K55" s="8" t="n">
        <f aca="false">IF(J55="OVERPRICED?",ROUND(H55*1.35,-1),MAX(E55,ROUND(H55*(1+$E$3),-1)))</f>
        <v>11480</v>
      </c>
      <c r="L55" s="8" t="n">
        <f aca="false">D55*E55</f>
        <v>36400</v>
      </c>
      <c r="M55" s="8" t="n">
        <f aca="false">D55*K55</f>
        <v>22960</v>
      </c>
      <c r="N55" s="8" t="n">
        <f aca="false">D55*H55</f>
        <v>17000</v>
      </c>
      <c r="O55" s="6" t="str">
        <f aca="false">IF(ISNUMBER(SEARCH(C55,F55)),"","YES")</f>
        <v>YES</v>
      </c>
      <c r="P55" s="6" t="s">
        <v>44</v>
      </c>
      <c r="Q55" s="7" t="s">
        <v>138</v>
      </c>
      <c r="R55" s="7"/>
    </row>
    <row r="56" customFormat="false" ht="15" hidden="false" customHeight="false" outlineLevel="0" collapsed="false">
      <c r="A56" s="6" t="n">
        <v>53</v>
      </c>
      <c r="B56" s="7" t="s">
        <v>139</v>
      </c>
      <c r="C56" s="6" t="s">
        <v>28</v>
      </c>
      <c r="D56" s="6" t="n">
        <v>1</v>
      </c>
      <c r="E56" s="8" t="n">
        <v>23400</v>
      </c>
      <c r="F56" s="7" t="s">
        <v>122</v>
      </c>
      <c r="G56" s="9" t="n">
        <v>19030</v>
      </c>
      <c r="H56" s="9" t="n">
        <v>19030</v>
      </c>
      <c r="I56" s="10" t="n">
        <f aca="false">IF(E56=0,0,(E56-H56)/E56)</f>
        <v>0.186752136752137</v>
      </c>
      <c r="J56" s="6" t="str">
        <f aca="false">IF(E56&lt;G56,"LOSS",IF(E56&lt;H56*1.1,"THIN / RISK",IF(E56&gt;H56*1.8,"OVERPRICED?","OK")))</f>
        <v>OK</v>
      </c>
      <c r="K56" s="8" t="n">
        <f aca="false">IF(J56="OVERPRICED?",ROUND(H56*1.35,-1),MAX(E56,ROUND(H56*(1+$E$3),-1)))</f>
        <v>23400</v>
      </c>
      <c r="L56" s="8" t="n">
        <f aca="false">D56*E56</f>
        <v>23400</v>
      </c>
      <c r="M56" s="8" t="n">
        <f aca="false">D56*K56</f>
        <v>23400</v>
      </c>
      <c r="N56" s="8" t="n">
        <f aca="false">D56*H56</f>
        <v>19030</v>
      </c>
      <c r="O56" s="6" t="str">
        <f aca="false">IF(ISNUMBER(SEARCH(C56,F56)),"","YES")</f>
        <v>YES</v>
      </c>
      <c r="P56" s="6" t="s">
        <v>44</v>
      </c>
      <c r="Q56" s="7" t="s">
        <v>140</v>
      </c>
      <c r="R56" s="7"/>
    </row>
    <row r="57" customFormat="false" ht="22.35" hidden="false" customHeight="false" outlineLevel="0" collapsed="false">
      <c r="A57" s="6" t="n">
        <v>54</v>
      </c>
      <c r="B57" s="7" t="s">
        <v>141</v>
      </c>
      <c r="C57" s="6" t="s">
        <v>111</v>
      </c>
      <c r="D57" s="6" t="n">
        <v>2</v>
      </c>
      <c r="E57" s="8" t="n">
        <v>400946</v>
      </c>
      <c r="F57" s="7" t="s">
        <v>111</v>
      </c>
      <c r="G57" s="9" t="n">
        <v>115000</v>
      </c>
      <c r="H57" s="9" t="n">
        <v>115000</v>
      </c>
      <c r="I57" s="10" t="n">
        <f aca="false">IF(E57=0,0,(E57-H57)/E57)</f>
        <v>0.713178333241883</v>
      </c>
      <c r="J57" s="6" t="str">
        <f aca="false">IF(E57&lt;G57,"LOSS",IF(E57&lt;H57*1.1,"THIN / RISK",IF(E57&gt;H57*1.8,"OVERPRICED?","OK")))</f>
        <v>OVERPRICED?</v>
      </c>
      <c r="K57" s="8" t="n">
        <f aca="false">IF(J57="OVERPRICED?",ROUND(H57*1.35,-1),MAX(E57,ROUND(H57*(1+$E$3),-1)))</f>
        <v>155250</v>
      </c>
      <c r="L57" s="8" t="n">
        <f aca="false">D57*E57</f>
        <v>801892</v>
      </c>
      <c r="M57" s="8" t="n">
        <f aca="false">D57*K57</f>
        <v>310500</v>
      </c>
      <c r="N57" s="8" t="n">
        <f aca="false">D57*H57</f>
        <v>230000</v>
      </c>
      <c r="O57" s="6" t="str">
        <f aca="false">IF(ISNUMBER(SEARCH(C57,F57)),"","YES")</f>
        <v/>
      </c>
      <c r="P57" s="6" t="s">
        <v>44</v>
      </c>
      <c r="Q57" s="7" t="s">
        <v>142</v>
      </c>
      <c r="R57" s="7"/>
    </row>
    <row r="58" customFormat="false" ht="22.35" hidden="false" customHeight="false" outlineLevel="0" collapsed="false">
      <c r="A58" s="6" t="n">
        <v>55</v>
      </c>
      <c r="B58" s="7" t="s">
        <v>143</v>
      </c>
      <c r="C58" s="6" t="s">
        <v>28</v>
      </c>
      <c r="D58" s="6" t="n">
        <v>2</v>
      </c>
      <c r="E58" s="8" t="n">
        <v>15600</v>
      </c>
      <c r="F58" s="7" t="s">
        <v>144</v>
      </c>
      <c r="G58" s="9" t="n">
        <v>12000</v>
      </c>
      <c r="H58" s="9" t="n">
        <v>18000</v>
      </c>
      <c r="I58" s="10" t="n">
        <f aca="false">IF(E58=0,0,(E58-H58)/E58)</f>
        <v>-0.153846153846154</v>
      </c>
      <c r="J58" s="6" t="str">
        <f aca="false">IF(E58&lt;G58,"LOSS",IF(E58&lt;H58*1.1,"THIN / RISK",IF(E58&gt;H58*1.8,"OVERPRICED?","OK")))</f>
        <v>THIN / RISK</v>
      </c>
      <c r="K58" s="8" t="n">
        <f aca="false">IF(J58="OVERPRICED?",ROUND(H58*1.35,-1),MAX(E58,ROUND(H58*(1+$E$3),-1)))</f>
        <v>20700</v>
      </c>
      <c r="L58" s="8" t="n">
        <f aca="false">D58*E58</f>
        <v>31200</v>
      </c>
      <c r="M58" s="8" t="n">
        <f aca="false">D58*K58</f>
        <v>41400</v>
      </c>
      <c r="N58" s="8" t="n">
        <f aca="false">D58*H58</f>
        <v>36000</v>
      </c>
      <c r="O58" s="6" t="str">
        <f aca="false">IF(ISNUMBER(SEARCH(C58,F58)),"","YES")</f>
        <v>YES</v>
      </c>
      <c r="P58" s="6" t="s">
        <v>30</v>
      </c>
      <c r="Q58" s="7" t="s">
        <v>145</v>
      </c>
      <c r="R58" s="7" t="s">
        <v>146</v>
      </c>
    </row>
    <row r="59" customFormat="false" ht="22.35" hidden="false" customHeight="false" outlineLevel="0" collapsed="false">
      <c r="A59" s="6" t="n">
        <v>56</v>
      </c>
      <c r="B59" s="7" t="s">
        <v>147</v>
      </c>
      <c r="C59" s="6" t="s">
        <v>28</v>
      </c>
      <c r="D59" s="6" t="n">
        <v>1</v>
      </c>
      <c r="E59" s="8" t="n">
        <v>10400</v>
      </c>
      <c r="F59" s="7" t="s">
        <v>28</v>
      </c>
      <c r="G59" s="9" t="n">
        <v>10000</v>
      </c>
      <c r="H59" s="9" t="n">
        <v>13000</v>
      </c>
      <c r="I59" s="10" t="n">
        <f aca="false">IF(E59=0,0,(E59-H59)/E59)</f>
        <v>-0.25</v>
      </c>
      <c r="J59" s="6" t="str">
        <f aca="false">IF(E59&lt;G59,"LOSS",IF(E59&lt;H59*1.1,"THIN / RISK",IF(E59&gt;H59*1.8,"OVERPRICED?","OK")))</f>
        <v>THIN / RISK</v>
      </c>
      <c r="K59" s="8" t="n">
        <f aca="false">IF(J59="OVERPRICED?",ROUND(H59*1.35,-1),MAX(E59,ROUND(H59*(1+$E$3),-1)))</f>
        <v>14950</v>
      </c>
      <c r="L59" s="8" t="n">
        <f aca="false">D59*E59</f>
        <v>10400</v>
      </c>
      <c r="M59" s="8" t="n">
        <f aca="false">D59*K59</f>
        <v>14950</v>
      </c>
      <c r="N59" s="8" t="n">
        <f aca="false">D59*H59</f>
        <v>13000</v>
      </c>
      <c r="O59" s="6" t="str">
        <f aca="false">IF(ISNUMBER(SEARCH(C59,F59)),"","YES")</f>
        <v/>
      </c>
      <c r="P59" s="6" t="s">
        <v>30</v>
      </c>
      <c r="Q59" s="7" t="s">
        <v>148</v>
      </c>
      <c r="R59" s="7" t="s">
        <v>149</v>
      </c>
    </row>
    <row r="60" customFormat="false" ht="15" hidden="false" customHeight="false" outlineLevel="0" collapsed="false">
      <c r="A60" s="6" t="n">
        <v>57</v>
      </c>
      <c r="B60" s="7" t="s">
        <v>150</v>
      </c>
      <c r="C60" s="6" t="s">
        <v>28</v>
      </c>
      <c r="D60" s="6" t="n">
        <v>4</v>
      </c>
      <c r="E60" s="8" t="n">
        <v>4550</v>
      </c>
      <c r="F60" s="7" t="s">
        <v>28</v>
      </c>
      <c r="G60" s="9" t="n">
        <v>7760</v>
      </c>
      <c r="H60" s="9" t="n">
        <v>7760</v>
      </c>
      <c r="I60" s="10" t="n">
        <f aca="false">IF(E60=0,0,(E60-H60)/E60)</f>
        <v>-0.705494505494506</v>
      </c>
      <c r="J60" s="6" t="str">
        <f aca="false">IF(E60&lt;G60,"LOSS",IF(E60&lt;H60*1.1,"THIN / RISK",IF(E60&gt;H60*1.8,"OVERPRICED?","OK")))</f>
        <v>LOSS</v>
      </c>
      <c r="K60" s="8" t="n">
        <f aca="false">IF(J60="OVERPRICED?",ROUND(H60*1.35,-1),MAX(E60,ROUND(H60*(1+$E$3),-1)))</f>
        <v>8920</v>
      </c>
      <c r="L60" s="8" t="n">
        <f aca="false">D60*E60</f>
        <v>18200</v>
      </c>
      <c r="M60" s="8" t="n">
        <f aca="false">D60*K60</f>
        <v>35680</v>
      </c>
      <c r="N60" s="8" t="n">
        <f aca="false">D60*H60</f>
        <v>31040</v>
      </c>
      <c r="O60" s="6" t="str">
        <f aca="false">IF(ISNUMBER(SEARCH(C60,F60)),"","YES")</f>
        <v/>
      </c>
      <c r="P60" s="6" t="s">
        <v>44</v>
      </c>
      <c r="Q60" s="7" t="s">
        <v>151</v>
      </c>
      <c r="R60" s="7"/>
    </row>
    <row r="61" customFormat="false" ht="15" hidden="false" customHeight="false" outlineLevel="0" collapsed="false">
      <c r="A61" s="6" t="n">
        <v>58</v>
      </c>
      <c r="B61" s="7" t="s">
        <v>152</v>
      </c>
      <c r="C61" s="6" t="s">
        <v>28</v>
      </c>
      <c r="D61" s="6" t="n">
        <v>12</v>
      </c>
      <c r="E61" s="8" t="n">
        <v>715</v>
      </c>
      <c r="F61" s="7" t="s">
        <v>28</v>
      </c>
      <c r="G61" s="9" t="n">
        <v>800</v>
      </c>
      <c r="H61" s="9" t="n">
        <v>1200</v>
      </c>
      <c r="I61" s="10" t="n">
        <f aca="false">IF(E61=0,0,(E61-H61)/E61)</f>
        <v>-0.678321678321678</v>
      </c>
      <c r="J61" s="6" t="str">
        <f aca="false">IF(E61&lt;G61,"LOSS",IF(E61&lt;H61*1.1,"THIN / RISK",IF(E61&gt;H61*1.8,"OVERPRICED?","OK")))</f>
        <v>LOSS</v>
      </c>
      <c r="K61" s="8" t="n">
        <f aca="false">IF(J61="OVERPRICED?",ROUND(H61*1.35,-1),MAX(E61,ROUND(H61*(1+$E$3),-1)))</f>
        <v>1380</v>
      </c>
      <c r="L61" s="8" t="n">
        <f aca="false">D61*E61</f>
        <v>8580</v>
      </c>
      <c r="M61" s="8" t="n">
        <f aca="false">D61*K61</f>
        <v>16560</v>
      </c>
      <c r="N61" s="8" t="n">
        <f aca="false">D61*H61</f>
        <v>14400</v>
      </c>
      <c r="O61" s="6" t="str">
        <f aca="false">IF(ISNUMBER(SEARCH(C61,F61)),"","YES")</f>
        <v/>
      </c>
      <c r="P61" s="6" t="s">
        <v>30</v>
      </c>
      <c r="Q61" s="7" t="s">
        <v>145</v>
      </c>
      <c r="R61" s="7" t="s">
        <v>32</v>
      </c>
    </row>
    <row r="62" customFormat="false" ht="15" hidden="false" customHeight="false" outlineLevel="0" collapsed="false">
      <c r="A62" s="6" t="n">
        <v>59</v>
      </c>
      <c r="B62" s="7" t="s">
        <v>153</v>
      </c>
      <c r="C62" s="6" t="s">
        <v>28</v>
      </c>
      <c r="D62" s="6" t="n">
        <v>12</v>
      </c>
      <c r="E62" s="8" t="n">
        <v>1950</v>
      </c>
      <c r="F62" s="7" t="s">
        <v>28</v>
      </c>
      <c r="G62" s="9" t="n">
        <v>1200</v>
      </c>
      <c r="H62" s="9" t="n">
        <v>1800</v>
      </c>
      <c r="I62" s="10" t="n">
        <f aca="false">IF(E62=0,0,(E62-H62)/E62)</f>
        <v>0.0769230769230769</v>
      </c>
      <c r="J62" s="6" t="str">
        <f aca="false">IF(E62&lt;G62,"LOSS",IF(E62&lt;H62*1.1,"THIN / RISK",IF(E62&gt;H62*1.8,"OVERPRICED?","OK")))</f>
        <v>THIN / RISK</v>
      </c>
      <c r="K62" s="8" t="n">
        <f aca="false">IF(J62="OVERPRICED?",ROUND(H62*1.35,-1),MAX(E62,ROUND(H62*(1+$E$3),-1)))</f>
        <v>2070</v>
      </c>
      <c r="L62" s="8" t="n">
        <f aca="false">D62*E62</f>
        <v>23400</v>
      </c>
      <c r="M62" s="8" t="n">
        <f aca="false">D62*K62</f>
        <v>24840</v>
      </c>
      <c r="N62" s="8" t="n">
        <f aca="false">D62*H62</f>
        <v>21600</v>
      </c>
      <c r="O62" s="6" t="str">
        <f aca="false">IF(ISNUMBER(SEARCH(C62,F62)),"","YES")</f>
        <v/>
      </c>
      <c r="P62" s="6" t="s">
        <v>30</v>
      </c>
      <c r="Q62" s="7" t="s">
        <v>145</v>
      </c>
      <c r="R62" s="7" t="s">
        <v>32</v>
      </c>
    </row>
    <row r="63" customFormat="false" ht="22.35" hidden="false" customHeight="false" outlineLevel="0" collapsed="false">
      <c r="A63" s="6" t="n">
        <v>60</v>
      </c>
      <c r="B63" s="7" t="s">
        <v>154</v>
      </c>
      <c r="C63" s="6" t="s">
        <v>28</v>
      </c>
      <c r="D63" s="6" t="n">
        <v>2</v>
      </c>
      <c r="E63" s="8" t="n">
        <v>9100</v>
      </c>
      <c r="F63" s="7" t="s">
        <v>43</v>
      </c>
      <c r="G63" s="9" t="n">
        <v>5250</v>
      </c>
      <c r="H63" s="9" t="n">
        <v>5250</v>
      </c>
      <c r="I63" s="10" t="n">
        <f aca="false">IF(E63=0,0,(E63-H63)/E63)</f>
        <v>0.423076923076923</v>
      </c>
      <c r="J63" s="6" t="str">
        <f aca="false">IF(E63&lt;G63,"LOSS",IF(E63&lt;H63*1.1,"THIN / RISK",IF(E63&gt;H63*1.8,"OVERPRICED?","OK")))</f>
        <v>OK</v>
      </c>
      <c r="K63" s="8" t="n">
        <f aca="false">IF(J63="OVERPRICED?",ROUND(H63*1.35,-1),MAX(E63,ROUND(H63*(1+$E$3),-1)))</f>
        <v>9100</v>
      </c>
      <c r="L63" s="8" t="n">
        <f aca="false">D63*E63</f>
        <v>18200</v>
      </c>
      <c r="M63" s="8" t="n">
        <f aca="false">D63*K63</f>
        <v>18200</v>
      </c>
      <c r="N63" s="8" t="n">
        <f aca="false">D63*H63</f>
        <v>10500</v>
      </c>
      <c r="O63" s="6" t="str">
        <f aca="false">IF(ISNUMBER(SEARCH(C63,F63)),"","YES")</f>
        <v>YES</v>
      </c>
      <c r="P63" s="6" t="s">
        <v>24</v>
      </c>
      <c r="Q63" s="7" t="s">
        <v>155</v>
      </c>
      <c r="R63" s="7" t="s">
        <v>26</v>
      </c>
    </row>
    <row r="64" customFormat="false" ht="22.35" hidden="false" customHeight="false" outlineLevel="0" collapsed="false">
      <c r="A64" s="6" t="n">
        <v>61</v>
      </c>
      <c r="B64" s="7" t="s">
        <v>156</v>
      </c>
      <c r="C64" s="6" t="s">
        <v>28</v>
      </c>
      <c r="D64" s="6" t="n">
        <v>2</v>
      </c>
      <c r="E64" s="8" t="n">
        <v>5850</v>
      </c>
      <c r="F64" s="7" t="s">
        <v>157</v>
      </c>
      <c r="G64" s="9" t="n">
        <v>5920</v>
      </c>
      <c r="H64" s="9" t="n">
        <v>5920</v>
      </c>
      <c r="I64" s="10" t="n">
        <f aca="false">IF(E64=0,0,(E64-H64)/E64)</f>
        <v>-0.011965811965812</v>
      </c>
      <c r="J64" s="6" t="str">
        <f aca="false">IF(E64&lt;G64,"LOSS",IF(E64&lt;H64*1.1,"THIN / RISK",IF(E64&gt;H64*1.8,"OVERPRICED?","OK")))</f>
        <v>LOSS</v>
      </c>
      <c r="K64" s="8" t="n">
        <f aca="false">IF(J64="OVERPRICED?",ROUND(H64*1.35,-1),MAX(E64,ROUND(H64*(1+$E$3),-1)))</f>
        <v>6810</v>
      </c>
      <c r="L64" s="8" t="n">
        <f aca="false">D64*E64</f>
        <v>11700</v>
      </c>
      <c r="M64" s="8" t="n">
        <f aca="false">D64*K64</f>
        <v>13620</v>
      </c>
      <c r="N64" s="8" t="n">
        <f aca="false">D64*H64</f>
        <v>11840</v>
      </c>
      <c r="O64" s="6" t="str">
        <f aca="false">IF(ISNUMBER(SEARCH(C64,F64)),"","YES")</f>
        <v>YES</v>
      </c>
      <c r="P64" s="6" t="s">
        <v>44</v>
      </c>
      <c r="Q64" s="7" t="s">
        <v>158</v>
      </c>
      <c r="R64" s="7"/>
    </row>
    <row r="65" customFormat="false" ht="22.35" hidden="false" customHeight="false" outlineLevel="0" collapsed="false">
      <c r="A65" s="6" t="n">
        <v>62</v>
      </c>
      <c r="B65" s="7" t="s">
        <v>159</v>
      </c>
      <c r="C65" s="6" t="s">
        <v>28</v>
      </c>
      <c r="D65" s="6" t="n">
        <v>3</v>
      </c>
      <c r="E65" s="8" t="n">
        <v>2600</v>
      </c>
      <c r="F65" s="7" t="s">
        <v>157</v>
      </c>
      <c r="G65" s="9" t="n">
        <v>3499</v>
      </c>
      <c r="H65" s="9" t="n">
        <v>3499</v>
      </c>
      <c r="I65" s="10" t="n">
        <f aca="false">IF(E65=0,0,(E65-H65)/E65)</f>
        <v>-0.345769230769231</v>
      </c>
      <c r="J65" s="6" t="str">
        <f aca="false">IF(E65&lt;G65,"LOSS",IF(E65&lt;H65*1.1,"THIN / RISK",IF(E65&gt;H65*1.8,"OVERPRICED?","OK")))</f>
        <v>LOSS</v>
      </c>
      <c r="K65" s="8" t="n">
        <f aca="false">IF(J65="OVERPRICED?",ROUND(H65*1.35,-1),MAX(E65,ROUND(H65*(1+$E$3),-1)))</f>
        <v>4020</v>
      </c>
      <c r="L65" s="8" t="n">
        <f aca="false">D65*E65</f>
        <v>7800</v>
      </c>
      <c r="M65" s="8" t="n">
        <f aca="false">D65*K65</f>
        <v>12060</v>
      </c>
      <c r="N65" s="8" t="n">
        <f aca="false">D65*H65</f>
        <v>10497</v>
      </c>
      <c r="O65" s="6" t="str">
        <f aca="false">IF(ISNUMBER(SEARCH(C65,F65)),"","YES")</f>
        <v>YES</v>
      </c>
      <c r="P65" s="6" t="s">
        <v>24</v>
      </c>
      <c r="Q65" s="7" t="s">
        <v>160</v>
      </c>
      <c r="R65" s="7" t="s">
        <v>26</v>
      </c>
    </row>
    <row r="66" customFormat="false" ht="22.35" hidden="false" customHeight="false" outlineLevel="0" collapsed="false">
      <c r="A66" s="6" t="n">
        <v>63</v>
      </c>
      <c r="B66" s="7" t="s">
        <v>161</v>
      </c>
      <c r="C66" s="6" t="s">
        <v>28</v>
      </c>
      <c r="D66" s="6" t="n">
        <v>1</v>
      </c>
      <c r="E66" s="8" t="n">
        <v>5551</v>
      </c>
      <c r="F66" s="7" t="s">
        <v>157</v>
      </c>
      <c r="G66" s="9" t="n">
        <v>4630</v>
      </c>
      <c r="H66" s="9" t="n">
        <v>4630</v>
      </c>
      <c r="I66" s="10" t="n">
        <f aca="false">IF(E66=0,0,(E66-H66)/E66)</f>
        <v>0.165916051161953</v>
      </c>
      <c r="J66" s="6" t="str">
        <f aca="false">IF(E66&lt;G66,"LOSS",IF(E66&lt;H66*1.1,"THIN / RISK",IF(E66&gt;H66*1.8,"OVERPRICED?","OK")))</f>
        <v>OK</v>
      </c>
      <c r="K66" s="8" t="n">
        <f aca="false">IF(J66="OVERPRICED?",ROUND(H66*1.35,-1),MAX(E66,ROUND(H66*(1+$E$3),-1)))</f>
        <v>5551</v>
      </c>
      <c r="L66" s="8" t="n">
        <f aca="false">D66*E66</f>
        <v>5551</v>
      </c>
      <c r="M66" s="8" t="n">
        <f aca="false">D66*K66</f>
        <v>5551</v>
      </c>
      <c r="N66" s="8" t="n">
        <f aca="false">D66*H66</f>
        <v>4630</v>
      </c>
      <c r="O66" s="6" t="str">
        <f aca="false">IF(ISNUMBER(SEARCH(C66,F66)),"","YES")</f>
        <v>YES</v>
      </c>
      <c r="P66" s="6" t="s">
        <v>44</v>
      </c>
      <c r="Q66" s="7" t="s">
        <v>162</v>
      </c>
      <c r="R66" s="7"/>
    </row>
    <row r="67" customFormat="false" ht="15" hidden="false" customHeight="false" outlineLevel="0" collapsed="false">
      <c r="A67" s="6" t="n">
        <v>64</v>
      </c>
      <c r="B67" s="7" t="s">
        <v>163</v>
      </c>
      <c r="C67" s="6" t="s">
        <v>28</v>
      </c>
      <c r="D67" s="6" t="n">
        <v>3</v>
      </c>
      <c r="E67" s="8" t="n">
        <v>1560</v>
      </c>
      <c r="F67" s="7" t="s">
        <v>122</v>
      </c>
      <c r="G67" s="9" t="n">
        <v>1350</v>
      </c>
      <c r="H67" s="9" t="n">
        <v>1350</v>
      </c>
      <c r="I67" s="10" t="n">
        <f aca="false">IF(E67=0,0,(E67-H67)/E67)</f>
        <v>0.134615384615385</v>
      </c>
      <c r="J67" s="6" t="str">
        <f aca="false">IF(E67&lt;G67,"LOSS",IF(E67&lt;H67*1.1,"THIN / RISK",IF(E67&gt;H67*1.8,"OVERPRICED?","OK")))</f>
        <v>OK</v>
      </c>
      <c r="K67" s="8" t="n">
        <f aca="false">IF(J67="OVERPRICED?",ROUND(H67*1.35,-1),MAX(E67,ROUND(H67*(1+$E$3),-1)))</f>
        <v>1560</v>
      </c>
      <c r="L67" s="8" t="n">
        <f aca="false">D67*E67</f>
        <v>4680</v>
      </c>
      <c r="M67" s="8" t="n">
        <f aca="false">D67*K67</f>
        <v>4680</v>
      </c>
      <c r="N67" s="8" t="n">
        <f aca="false">D67*H67</f>
        <v>4050</v>
      </c>
      <c r="O67" s="6" t="str">
        <f aca="false">IF(ISNUMBER(SEARCH(C67,F67)),"","YES")</f>
        <v>YES</v>
      </c>
      <c r="P67" s="6" t="s">
        <v>44</v>
      </c>
      <c r="Q67" s="7" t="s">
        <v>164</v>
      </c>
      <c r="R67" s="7"/>
    </row>
    <row r="68" customFormat="false" ht="15" hidden="false" customHeight="false" outlineLevel="0" collapsed="false">
      <c r="A68" s="6" t="n">
        <v>65</v>
      </c>
      <c r="B68" s="7" t="s">
        <v>165</v>
      </c>
      <c r="C68" s="6" t="s">
        <v>28</v>
      </c>
      <c r="D68" s="6" t="n">
        <v>3</v>
      </c>
      <c r="E68" s="8" t="n">
        <v>1560</v>
      </c>
      <c r="F68" s="7" t="s">
        <v>122</v>
      </c>
      <c r="G68" s="9" t="n">
        <v>1350</v>
      </c>
      <c r="H68" s="9" t="n">
        <v>1350</v>
      </c>
      <c r="I68" s="10" t="n">
        <f aca="false">IF(E68=0,0,(E68-H68)/E68)</f>
        <v>0.134615384615385</v>
      </c>
      <c r="J68" s="6" t="str">
        <f aca="false">IF(E68&lt;G68,"LOSS",IF(E68&lt;H68*1.1,"THIN / RISK",IF(E68&gt;H68*1.8,"OVERPRICED?","OK")))</f>
        <v>OK</v>
      </c>
      <c r="K68" s="8" t="n">
        <f aca="false">IF(J68="OVERPRICED?",ROUND(H68*1.35,-1),MAX(E68,ROUND(H68*(1+$E$3),-1)))</f>
        <v>1560</v>
      </c>
      <c r="L68" s="8" t="n">
        <f aca="false">D68*E68</f>
        <v>4680</v>
      </c>
      <c r="M68" s="8" t="n">
        <f aca="false">D68*K68</f>
        <v>4680</v>
      </c>
      <c r="N68" s="8" t="n">
        <f aca="false">D68*H68</f>
        <v>4050</v>
      </c>
      <c r="O68" s="6" t="str">
        <f aca="false">IF(ISNUMBER(SEARCH(C68,F68)),"","YES")</f>
        <v>YES</v>
      </c>
      <c r="P68" s="6" t="s">
        <v>44</v>
      </c>
      <c r="Q68" s="7" t="s">
        <v>164</v>
      </c>
      <c r="R68" s="7"/>
    </row>
    <row r="69" customFormat="false" ht="15" hidden="false" customHeight="false" outlineLevel="0" collapsed="false">
      <c r="A69" s="6" t="n">
        <v>66</v>
      </c>
      <c r="B69" s="7" t="s">
        <v>166</v>
      </c>
      <c r="C69" s="6" t="s">
        <v>28</v>
      </c>
      <c r="D69" s="6" t="n">
        <v>2</v>
      </c>
      <c r="E69" s="8" t="n">
        <v>11700</v>
      </c>
      <c r="F69" s="7" t="s">
        <v>167</v>
      </c>
      <c r="G69" s="9" t="n">
        <v>14000</v>
      </c>
      <c r="H69" s="9" t="n">
        <v>18000</v>
      </c>
      <c r="I69" s="10" t="n">
        <f aca="false">IF(E69=0,0,(E69-H69)/E69)</f>
        <v>-0.538461538461538</v>
      </c>
      <c r="J69" s="6" t="str">
        <f aca="false">IF(E69&lt;G69,"LOSS",IF(E69&lt;H69*1.1,"THIN / RISK",IF(E69&gt;H69*1.8,"OVERPRICED?","OK")))</f>
        <v>LOSS</v>
      </c>
      <c r="K69" s="8" t="n">
        <f aca="false">IF(J69="OVERPRICED?",ROUND(H69*1.35,-1),MAX(E69,ROUND(H69*(1+$E$3),-1)))</f>
        <v>20700</v>
      </c>
      <c r="L69" s="8" t="n">
        <f aca="false">D69*E69</f>
        <v>23400</v>
      </c>
      <c r="M69" s="8" t="n">
        <f aca="false">D69*K69</f>
        <v>41400</v>
      </c>
      <c r="N69" s="8" t="n">
        <f aca="false">D69*H69</f>
        <v>36000</v>
      </c>
      <c r="O69" s="6" t="str">
        <f aca="false">IF(ISNUMBER(SEARCH(C69,F69)),"","YES")</f>
        <v>YES</v>
      </c>
      <c r="P69" s="6" t="s">
        <v>30</v>
      </c>
      <c r="Q69" s="7" t="s">
        <v>145</v>
      </c>
      <c r="R69" s="7" t="s">
        <v>32</v>
      </c>
    </row>
    <row r="70" customFormat="false" ht="15" hidden="false" customHeight="false" outlineLevel="0" collapsed="false">
      <c r="A70" s="6" t="n">
        <v>67</v>
      </c>
      <c r="B70" s="7" t="s">
        <v>168</v>
      </c>
      <c r="C70" s="6" t="s">
        <v>28</v>
      </c>
      <c r="D70" s="6" t="n">
        <v>2</v>
      </c>
      <c r="E70" s="8" t="n">
        <v>9750</v>
      </c>
      <c r="F70" s="7" t="s">
        <v>167</v>
      </c>
      <c r="G70" s="9" t="n">
        <v>12000</v>
      </c>
      <c r="H70" s="9" t="n">
        <v>15000</v>
      </c>
      <c r="I70" s="10" t="n">
        <f aca="false">IF(E70=0,0,(E70-H70)/E70)</f>
        <v>-0.538461538461538</v>
      </c>
      <c r="J70" s="6" t="str">
        <f aca="false">IF(E70&lt;G70,"LOSS",IF(E70&lt;H70*1.1,"THIN / RISK",IF(E70&gt;H70*1.8,"OVERPRICED?","OK")))</f>
        <v>LOSS</v>
      </c>
      <c r="K70" s="8" t="n">
        <f aca="false">IF(J70="OVERPRICED?",ROUND(H70*1.35,-1),MAX(E70,ROUND(H70*(1+$E$3),-1)))</f>
        <v>17250</v>
      </c>
      <c r="L70" s="8" t="n">
        <f aca="false">D70*E70</f>
        <v>19500</v>
      </c>
      <c r="M70" s="8" t="n">
        <f aca="false">D70*K70</f>
        <v>34500</v>
      </c>
      <c r="N70" s="8" t="n">
        <f aca="false">D70*H70</f>
        <v>30000</v>
      </c>
      <c r="O70" s="6" t="str">
        <f aca="false">IF(ISNUMBER(SEARCH(C70,F70)),"","YES")</f>
        <v>YES</v>
      </c>
      <c r="P70" s="6" t="s">
        <v>30</v>
      </c>
      <c r="Q70" s="7" t="s">
        <v>145</v>
      </c>
      <c r="R70" s="7" t="s">
        <v>32</v>
      </c>
    </row>
    <row r="71" customFormat="false" ht="15" hidden="false" customHeight="false" outlineLevel="0" collapsed="false">
      <c r="A71" s="6" t="n">
        <v>69</v>
      </c>
      <c r="B71" s="7" t="s">
        <v>169</v>
      </c>
      <c r="C71" s="6" t="s">
        <v>28</v>
      </c>
      <c r="D71" s="6" t="n">
        <v>2</v>
      </c>
      <c r="E71" s="8" t="n">
        <v>23400</v>
      </c>
      <c r="F71" s="7" t="s">
        <v>170</v>
      </c>
      <c r="G71" s="9" t="n">
        <v>15000</v>
      </c>
      <c r="H71" s="9" t="n">
        <v>25000</v>
      </c>
      <c r="I71" s="10" t="n">
        <f aca="false">IF(E71=0,0,(E71-H71)/E71)</f>
        <v>-0.0683760683760684</v>
      </c>
      <c r="J71" s="6" t="str">
        <f aca="false">IF(E71&lt;G71,"LOSS",IF(E71&lt;H71*1.1,"THIN / RISK",IF(E71&gt;H71*1.8,"OVERPRICED?","OK")))</f>
        <v>THIN / RISK</v>
      </c>
      <c r="K71" s="8" t="n">
        <f aca="false">IF(J71="OVERPRICED?",ROUND(H71*1.35,-1),MAX(E71,ROUND(H71*(1+$E$3),-1)))</f>
        <v>28750</v>
      </c>
      <c r="L71" s="8" t="n">
        <f aca="false">D71*E71</f>
        <v>46800</v>
      </c>
      <c r="M71" s="8" t="n">
        <f aca="false">D71*K71</f>
        <v>57500</v>
      </c>
      <c r="N71" s="8" t="n">
        <f aca="false">D71*H71</f>
        <v>50000</v>
      </c>
      <c r="O71" s="6" t="str">
        <f aca="false">IF(ISNUMBER(SEARCH(C71,F71)),"","YES")</f>
        <v>YES</v>
      </c>
      <c r="P71" s="6" t="s">
        <v>30</v>
      </c>
      <c r="Q71" s="7" t="s">
        <v>145</v>
      </c>
      <c r="R71" s="7" t="s">
        <v>32</v>
      </c>
    </row>
    <row r="72" customFormat="false" ht="15" hidden="false" customHeight="false" outlineLevel="0" collapsed="false">
      <c r="A72" s="6" t="n">
        <v>70</v>
      </c>
      <c r="B72" s="7" t="s">
        <v>171</v>
      </c>
      <c r="C72" s="6" t="s">
        <v>28</v>
      </c>
      <c r="D72" s="6" t="n">
        <v>1</v>
      </c>
      <c r="E72" s="8" t="n">
        <v>32500</v>
      </c>
      <c r="F72" s="7" t="s">
        <v>170</v>
      </c>
      <c r="G72" s="9" t="n">
        <v>25000</v>
      </c>
      <c r="H72" s="9" t="n">
        <v>40000</v>
      </c>
      <c r="I72" s="10" t="n">
        <f aca="false">IF(E72=0,0,(E72-H72)/E72)</f>
        <v>-0.230769230769231</v>
      </c>
      <c r="J72" s="6" t="str">
        <f aca="false">IF(E72&lt;G72,"LOSS",IF(E72&lt;H72*1.1,"THIN / RISK",IF(E72&gt;H72*1.8,"OVERPRICED?","OK")))</f>
        <v>THIN / RISK</v>
      </c>
      <c r="K72" s="8" t="n">
        <f aca="false">IF(J72="OVERPRICED?",ROUND(H72*1.35,-1),MAX(E72,ROUND(H72*(1+$E$3),-1)))</f>
        <v>46000</v>
      </c>
      <c r="L72" s="8" t="n">
        <f aca="false">D72*E72</f>
        <v>32500</v>
      </c>
      <c r="M72" s="8" t="n">
        <f aca="false">D72*K72</f>
        <v>46000</v>
      </c>
      <c r="N72" s="8" t="n">
        <f aca="false">D72*H72</f>
        <v>40000</v>
      </c>
      <c r="O72" s="6" t="str">
        <f aca="false">IF(ISNUMBER(SEARCH(C72,F72)),"","YES")</f>
        <v>YES</v>
      </c>
      <c r="P72" s="6" t="s">
        <v>30</v>
      </c>
      <c r="Q72" s="7" t="s">
        <v>145</v>
      </c>
      <c r="R72" s="7" t="s">
        <v>32</v>
      </c>
    </row>
    <row r="73" customFormat="false" ht="22.35" hidden="false" customHeight="false" outlineLevel="0" collapsed="false">
      <c r="A73" s="6" t="n">
        <v>71</v>
      </c>
      <c r="B73" s="7" t="s">
        <v>172</v>
      </c>
      <c r="C73" s="6" t="s">
        <v>28</v>
      </c>
      <c r="D73" s="6" t="n">
        <v>1</v>
      </c>
      <c r="E73" s="8" t="n">
        <v>1105</v>
      </c>
      <c r="F73" s="7" t="s">
        <v>43</v>
      </c>
      <c r="G73" s="9" t="n">
        <v>1000</v>
      </c>
      <c r="H73" s="9" t="n">
        <v>1000</v>
      </c>
      <c r="I73" s="10" t="n">
        <f aca="false">IF(E73=0,0,(E73-H73)/E73)</f>
        <v>0.0950226244343891</v>
      </c>
      <c r="J73" s="6" t="str">
        <f aca="false">IF(E73&lt;G73,"LOSS",IF(E73&lt;H73*1.1,"THIN / RISK",IF(E73&gt;H73*1.8,"OVERPRICED?","OK")))</f>
        <v>OK</v>
      </c>
      <c r="K73" s="8" t="n">
        <f aca="false">IF(J73="OVERPRICED?",ROUND(H73*1.35,-1),MAX(E73,ROUND(H73*(1+$E$3),-1)))</f>
        <v>1150</v>
      </c>
      <c r="L73" s="8" t="n">
        <f aca="false">D73*E73</f>
        <v>1105</v>
      </c>
      <c r="M73" s="8" t="n">
        <f aca="false">D73*K73</f>
        <v>1150</v>
      </c>
      <c r="N73" s="8" t="n">
        <f aca="false">D73*H73</f>
        <v>1000</v>
      </c>
      <c r="O73" s="6" t="str">
        <f aca="false">IF(ISNUMBER(SEARCH(C73,F73)),"","YES")</f>
        <v>YES</v>
      </c>
      <c r="P73" s="6" t="s">
        <v>44</v>
      </c>
      <c r="Q73" s="7" t="s">
        <v>173</v>
      </c>
      <c r="R73" s="7"/>
    </row>
    <row r="74" customFormat="false" ht="22.35" hidden="false" customHeight="false" outlineLevel="0" collapsed="false">
      <c r="A74" s="6" t="n">
        <v>73</v>
      </c>
      <c r="B74" s="7" t="s">
        <v>174</v>
      </c>
      <c r="C74" s="6" t="s">
        <v>28</v>
      </c>
      <c r="D74" s="6" t="n">
        <v>1</v>
      </c>
      <c r="E74" s="8" t="n">
        <v>45500</v>
      </c>
      <c r="F74" s="7" t="s">
        <v>157</v>
      </c>
      <c r="G74" s="9" t="n">
        <v>22185</v>
      </c>
      <c r="H74" s="9" t="n">
        <v>22185</v>
      </c>
      <c r="I74" s="10" t="n">
        <f aca="false">IF(E74=0,0,(E74-H74)/E74)</f>
        <v>0.512417582417582</v>
      </c>
      <c r="J74" s="6" t="str">
        <f aca="false">IF(E74&lt;G74,"LOSS",IF(E74&lt;H74*1.1,"THIN / RISK",IF(E74&gt;H74*1.8,"OVERPRICED?","OK")))</f>
        <v>OVERPRICED?</v>
      </c>
      <c r="K74" s="8" t="n">
        <f aca="false">IF(J74="OVERPRICED?",ROUND(H74*1.35,-1),MAX(E74,ROUND(H74*(1+$E$3),-1)))</f>
        <v>29950</v>
      </c>
      <c r="L74" s="8" t="n">
        <f aca="false">D74*E74</f>
        <v>45500</v>
      </c>
      <c r="M74" s="8" t="n">
        <f aca="false">D74*K74</f>
        <v>29950</v>
      </c>
      <c r="N74" s="8" t="n">
        <f aca="false">D74*H74</f>
        <v>22185</v>
      </c>
      <c r="O74" s="6" t="str">
        <f aca="false">IF(ISNUMBER(SEARCH(C74,F74)),"","YES")</f>
        <v>YES</v>
      </c>
      <c r="P74" s="6" t="s">
        <v>24</v>
      </c>
      <c r="Q74" s="7" t="s">
        <v>175</v>
      </c>
      <c r="R74" s="7" t="s">
        <v>26</v>
      </c>
    </row>
    <row r="75" customFormat="false" ht="22.35" hidden="false" customHeight="false" outlineLevel="0" collapsed="false">
      <c r="A75" s="6" t="n">
        <v>74</v>
      </c>
      <c r="B75" s="7" t="s">
        <v>176</v>
      </c>
      <c r="C75" s="6" t="s">
        <v>28</v>
      </c>
      <c r="D75" s="6" t="n">
        <v>2</v>
      </c>
      <c r="E75" s="8" t="n">
        <v>23400</v>
      </c>
      <c r="F75" s="7" t="s">
        <v>177</v>
      </c>
      <c r="G75" s="9" t="n">
        <v>45000</v>
      </c>
      <c r="H75" s="9" t="n">
        <v>70000</v>
      </c>
      <c r="I75" s="10" t="n">
        <f aca="false">IF(E75=0,0,(E75-H75)/E75)</f>
        <v>-1.99145299145299</v>
      </c>
      <c r="J75" s="6" t="str">
        <f aca="false">IF(E75&lt;G75,"LOSS",IF(E75&lt;H75*1.1,"THIN / RISK",IF(E75&gt;H75*1.8,"OVERPRICED?","OK")))</f>
        <v>LOSS</v>
      </c>
      <c r="K75" s="8" t="n">
        <f aca="false">IF(J75="OVERPRICED?",ROUND(H75*1.35,-1),MAX(E75,ROUND(H75*(1+$E$3),-1)))</f>
        <v>80500</v>
      </c>
      <c r="L75" s="8" t="n">
        <f aca="false">D75*E75</f>
        <v>46800</v>
      </c>
      <c r="M75" s="8" t="n">
        <f aca="false">D75*K75</f>
        <v>161000</v>
      </c>
      <c r="N75" s="8" t="n">
        <f aca="false">D75*H75</f>
        <v>140000</v>
      </c>
      <c r="O75" s="6" t="str">
        <f aca="false">IF(ISNUMBER(SEARCH(C75,F75)),"","YES")</f>
        <v>YES</v>
      </c>
      <c r="P75" s="6" t="s">
        <v>30</v>
      </c>
      <c r="Q75" s="7" t="s">
        <v>178</v>
      </c>
      <c r="R75" s="7" t="s">
        <v>179</v>
      </c>
    </row>
    <row r="76" customFormat="false" ht="32.8" hidden="false" customHeight="false" outlineLevel="0" collapsed="false">
      <c r="A76" s="6" t="n">
        <v>75</v>
      </c>
      <c r="B76" s="7" t="s">
        <v>180</v>
      </c>
      <c r="C76" s="6" t="s">
        <v>28</v>
      </c>
      <c r="D76" s="6" t="n">
        <v>2</v>
      </c>
      <c r="E76" s="8" t="n">
        <v>1950</v>
      </c>
      <c r="F76" s="7" t="s">
        <v>181</v>
      </c>
      <c r="G76" s="9" t="n">
        <v>9790</v>
      </c>
      <c r="H76" s="9" t="n">
        <v>12730</v>
      </c>
      <c r="I76" s="10" t="n">
        <f aca="false">IF(E76=0,0,(E76-H76)/E76)</f>
        <v>-5.52820512820513</v>
      </c>
      <c r="J76" s="6" t="str">
        <f aca="false">IF(E76&lt;G76,"LOSS",IF(E76&lt;H76*1.1,"THIN / RISK",IF(E76&gt;H76*1.8,"OVERPRICED?","OK")))</f>
        <v>LOSS</v>
      </c>
      <c r="K76" s="8" t="n">
        <f aca="false">IF(J76="OVERPRICED?",ROUND(H76*1.35,-1),MAX(E76,ROUND(H76*(1+$E$3),-1)))</f>
        <v>14640</v>
      </c>
      <c r="L76" s="8" t="n">
        <f aca="false">D76*E76</f>
        <v>3900</v>
      </c>
      <c r="M76" s="8" t="n">
        <f aca="false">D76*K76</f>
        <v>29280</v>
      </c>
      <c r="N76" s="8" t="n">
        <f aca="false">D76*H76</f>
        <v>25460</v>
      </c>
      <c r="O76" s="6" t="str">
        <f aca="false">IF(ISNUMBER(SEARCH(C76,F76)),"","YES")</f>
        <v>YES</v>
      </c>
      <c r="P76" s="6" t="s">
        <v>30</v>
      </c>
      <c r="Q76" s="7" t="s">
        <v>182</v>
      </c>
      <c r="R76" s="7" t="s">
        <v>32</v>
      </c>
    </row>
    <row r="77" customFormat="false" ht="32.8" hidden="false" customHeight="false" outlineLevel="0" collapsed="false">
      <c r="A77" s="6" t="n">
        <v>76</v>
      </c>
      <c r="B77" s="7" t="s">
        <v>183</v>
      </c>
      <c r="C77" s="6" t="s">
        <v>28</v>
      </c>
      <c r="D77" s="6" t="n">
        <v>2</v>
      </c>
      <c r="E77" s="8" t="n">
        <v>2080</v>
      </c>
      <c r="F77" s="7" t="s">
        <v>181</v>
      </c>
      <c r="G77" s="9" t="n">
        <v>11060</v>
      </c>
      <c r="H77" s="9" t="n">
        <v>14380</v>
      </c>
      <c r="I77" s="10" t="n">
        <f aca="false">IF(E77=0,0,(E77-H77)/E77)</f>
        <v>-5.91346153846154</v>
      </c>
      <c r="J77" s="6" t="str">
        <f aca="false">IF(E77&lt;G77,"LOSS",IF(E77&lt;H77*1.1,"THIN / RISK",IF(E77&gt;H77*1.8,"OVERPRICED?","OK")))</f>
        <v>LOSS</v>
      </c>
      <c r="K77" s="8" t="n">
        <f aca="false">IF(J77="OVERPRICED?",ROUND(H77*1.35,-1),MAX(E77,ROUND(H77*(1+$E$3),-1)))</f>
        <v>16540</v>
      </c>
      <c r="L77" s="8" t="n">
        <f aca="false">D77*E77</f>
        <v>4160</v>
      </c>
      <c r="M77" s="8" t="n">
        <f aca="false">D77*K77</f>
        <v>33080</v>
      </c>
      <c r="N77" s="8" t="n">
        <f aca="false">D77*H77</f>
        <v>28760</v>
      </c>
      <c r="O77" s="6" t="str">
        <f aca="false">IF(ISNUMBER(SEARCH(C77,F77)),"","YES")</f>
        <v>YES</v>
      </c>
      <c r="P77" s="6" t="s">
        <v>30</v>
      </c>
      <c r="Q77" s="7" t="s">
        <v>184</v>
      </c>
      <c r="R77" s="7" t="s">
        <v>32</v>
      </c>
    </row>
    <row r="78" customFormat="false" ht="32.8" hidden="false" customHeight="false" outlineLevel="0" collapsed="false">
      <c r="A78" s="6" t="n">
        <v>77</v>
      </c>
      <c r="B78" s="7" t="s">
        <v>185</v>
      </c>
      <c r="C78" s="6" t="s">
        <v>28</v>
      </c>
      <c r="D78" s="6" t="n">
        <v>2</v>
      </c>
      <c r="E78" s="8" t="n">
        <v>2210</v>
      </c>
      <c r="F78" s="7" t="s">
        <v>181</v>
      </c>
      <c r="G78" s="9" t="n">
        <v>11700</v>
      </c>
      <c r="H78" s="9" t="n">
        <v>15210</v>
      </c>
      <c r="I78" s="10" t="n">
        <f aca="false">IF(E78=0,0,(E78-H78)/E78)</f>
        <v>-5.88235294117647</v>
      </c>
      <c r="J78" s="6" t="str">
        <f aca="false">IF(E78&lt;G78,"LOSS",IF(E78&lt;H78*1.1,"THIN / RISK",IF(E78&gt;H78*1.8,"OVERPRICED?","OK")))</f>
        <v>LOSS</v>
      </c>
      <c r="K78" s="8" t="n">
        <f aca="false">IF(J78="OVERPRICED?",ROUND(H78*1.35,-1),MAX(E78,ROUND(H78*(1+$E$3),-1)))</f>
        <v>17490</v>
      </c>
      <c r="L78" s="8" t="n">
        <f aca="false">D78*E78</f>
        <v>4420</v>
      </c>
      <c r="M78" s="8" t="n">
        <f aca="false">D78*K78</f>
        <v>34980</v>
      </c>
      <c r="N78" s="8" t="n">
        <f aca="false">D78*H78</f>
        <v>30420</v>
      </c>
      <c r="O78" s="6" t="str">
        <f aca="false">IF(ISNUMBER(SEARCH(C78,F78)),"","YES")</f>
        <v>YES</v>
      </c>
      <c r="P78" s="6" t="s">
        <v>30</v>
      </c>
      <c r="Q78" s="7" t="s">
        <v>186</v>
      </c>
      <c r="R78" s="7" t="s">
        <v>32</v>
      </c>
    </row>
    <row r="79" customFormat="false" ht="32.8" hidden="false" customHeight="false" outlineLevel="0" collapsed="false">
      <c r="A79" s="6" t="n">
        <v>78</v>
      </c>
      <c r="B79" s="7" t="s">
        <v>187</v>
      </c>
      <c r="C79" s="6" t="s">
        <v>28</v>
      </c>
      <c r="D79" s="6" t="n">
        <v>2</v>
      </c>
      <c r="E79" s="8" t="n">
        <v>2340</v>
      </c>
      <c r="F79" s="7" t="s">
        <v>181</v>
      </c>
      <c r="G79" s="9" t="n">
        <v>12330</v>
      </c>
      <c r="H79" s="9" t="n">
        <v>16030</v>
      </c>
      <c r="I79" s="10" t="n">
        <f aca="false">IF(E79=0,0,(E79-H79)/E79)</f>
        <v>-5.85042735042735</v>
      </c>
      <c r="J79" s="6" t="str">
        <f aca="false">IF(E79&lt;G79,"LOSS",IF(E79&lt;H79*1.1,"THIN / RISK",IF(E79&gt;H79*1.8,"OVERPRICED?","OK")))</f>
        <v>LOSS</v>
      </c>
      <c r="K79" s="8" t="n">
        <f aca="false">IF(J79="OVERPRICED?",ROUND(H79*1.35,-1),MAX(E79,ROUND(H79*(1+$E$3),-1)))</f>
        <v>18430</v>
      </c>
      <c r="L79" s="8" t="n">
        <f aca="false">D79*E79</f>
        <v>4680</v>
      </c>
      <c r="M79" s="8" t="n">
        <f aca="false">D79*K79</f>
        <v>36860</v>
      </c>
      <c r="N79" s="8" t="n">
        <f aca="false">D79*H79</f>
        <v>32060</v>
      </c>
      <c r="O79" s="6" t="str">
        <f aca="false">IF(ISNUMBER(SEARCH(C79,F79)),"","YES")</f>
        <v>YES</v>
      </c>
      <c r="P79" s="6" t="s">
        <v>30</v>
      </c>
      <c r="Q79" s="7" t="s">
        <v>188</v>
      </c>
      <c r="R79" s="7" t="s">
        <v>32</v>
      </c>
    </row>
    <row r="80" customFormat="false" ht="32.8" hidden="false" customHeight="false" outlineLevel="0" collapsed="false">
      <c r="A80" s="6" t="n">
        <v>79</v>
      </c>
      <c r="B80" s="7" t="s">
        <v>189</v>
      </c>
      <c r="C80" s="6" t="s">
        <v>28</v>
      </c>
      <c r="D80" s="6" t="n">
        <v>2</v>
      </c>
      <c r="E80" s="8" t="n">
        <v>2470</v>
      </c>
      <c r="F80" s="7" t="s">
        <v>181</v>
      </c>
      <c r="G80" s="9" t="n">
        <v>12970</v>
      </c>
      <c r="H80" s="9" t="n">
        <v>16860</v>
      </c>
      <c r="I80" s="10" t="n">
        <f aca="false">IF(E80=0,0,(E80-H80)/E80)</f>
        <v>-5.82591093117409</v>
      </c>
      <c r="J80" s="6" t="str">
        <f aca="false">IF(E80&lt;G80,"LOSS",IF(E80&lt;H80*1.1,"THIN / RISK",IF(E80&gt;H80*1.8,"OVERPRICED?","OK")))</f>
        <v>LOSS</v>
      </c>
      <c r="K80" s="8" t="n">
        <f aca="false">IF(J80="OVERPRICED?",ROUND(H80*1.35,-1),MAX(E80,ROUND(H80*(1+$E$3),-1)))</f>
        <v>19390</v>
      </c>
      <c r="L80" s="8" t="n">
        <f aca="false">D80*E80</f>
        <v>4940</v>
      </c>
      <c r="M80" s="8" t="n">
        <f aca="false">D80*K80</f>
        <v>38780</v>
      </c>
      <c r="N80" s="8" t="n">
        <f aca="false">D80*H80</f>
        <v>33720</v>
      </c>
      <c r="O80" s="6" t="str">
        <f aca="false">IF(ISNUMBER(SEARCH(C80,F80)),"","YES")</f>
        <v>YES</v>
      </c>
      <c r="P80" s="6" t="s">
        <v>30</v>
      </c>
      <c r="Q80" s="7" t="s">
        <v>190</v>
      </c>
      <c r="R80" s="7" t="s">
        <v>32</v>
      </c>
    </row>
    <row r="81" customFormat="false" ht="32.8" hidden="false" customHeight="false" outlineLevel="0" collapsed="false">
      <c r="A81" s="6" t="n">
        <v>80</v>
      </c>
      <c r="B81" s="7" t="s">
        <v>191</v>
      </c>
      <c r="C81" s="6" t="s">
        <v>28</v>
      </c>
      <c r="D81" s="6" t="n">
        <v>2</v>
      </c>
      <c r="E81" s="8" t="n">
        <v>2600</v>
      </c>
      <c r="F81" s="7" t="s">
        <v>181</v>
      </c>
      <c r="G81" s="9" t="n">
        <v>13600</v>
      </c>
      <c r="H81" s="9" t="n">
        <v>17680</v>
      </c>
      <c r="I81" s="10" t="n">
        <f aca="false">IF(E81=0,0,(E81-H81)/E81)</f>
        <v>-5.8</v>
      </c>
      <c r="J81" s="6" t="str">
        <f aca="false">IF(E81&lt;G81,"LOSS",IF(E81&lt;H81*1.1,"THIN / RISK",IF(E81&gt;H81*1.8,"OVERPRICED?","OK")))</f>
        <v>LOSS</v>
      </c>
      <c r="K81" s="8" t="n">
        <f aca="false">IF(J81="OVERPRICED?",ROUND(H81*1.35,-1),MAX(E81,ROUND(H81*(1+$E$3),-1)))</f>
        <v>20330</v>
      </c>
      <c r="L81" s="8" t="n">
        <f aca="false">D81*E81</f>
        <v>5200</v>
      </c>
      <c r="M81" s="8" t="n">
        <f aca="false">D81*K81</f>
        <v>40660</v>
      </c>
      <c r="N81" s="8" t="n">
        <f aca="false">D81*H81</f>
        <v>35360</v>
      </c>
      <c r="O81" s="6" t="str">
        <f aca="false">IF(ISNUMBER(SEARCH(C81,F81)),"","YES")</f>
        <v>YES</v>
      </c>
      <c r="P81" s="6" t="s">
        <v>30</v>
      </c>
      <c r="Q81" s="7" t="s">
        <v>192</v>
      </c>
      <c r="R81" s="7" t="s">
        <v>32</v>
      </c>
    </row>
    <row r="82" customFormat="false" ht="32.8" hidden="false" customHeight="false" outlineLevel="0" collapsed="false">
      <c r="A82" s="6" t="n">
        <v>81</v>
      </c>
      <c r="B82" s="7" t="s">
        <v>193</v>
      </c>
      <c r="C82" s="6" t="s">
        <v>28</v>
      </c>
      <c r="D82" s="6" t="n">
        <v>2</v>
      </c>
      <c r="E82" s="8" t="n">
        <v>2730</v>
      </c>
      <c r="F82" s="7" t="s">
        <v>181</v>
      </c>
      <c r="G82" s="9" t="n">
        <v>14240</v>
      </c>
      <c r="H82" s="9" t="n">
        <v>18510</v>
      </c>
      <c r="I82" s="10" t="n">
        <f aca="false">IF(E82=0,0,(E82-H82)/E82)</f>
        <v>-5.78021978021978</v>
      </c>
      <c r="J82" s="6" t="str">
        <f aca="false">IF(E82&lt;G82,"LOSS",IF(E82&lt;H82*1.1,"THIN / RISK",IF(E82&gt;H82*1.8,"OVERPRICED?","OK")))</f>
        <v>LOSS</v>
      </c>
      <c r="K82" s="8" t="n">
        <f aca="false">IF(J82="OVERPRICED?",ROUND(H82*1.35,-1),MAX(E82,ROUND(H82*(1+$E$3),-1)))</f>
        <v>21290</v>
      </c>
      <c r="L82" s="8" t="n">
        <f aca="false">D82*E82</f>
        <v>5460</v>
      </c>
      <c r="M82" s="8" t="n">
        <f aca="false">D82*K82</f>
        <v>42580</v>
      </c>
      <c r="N82" s="8" t="n">
        <f aca="false">D82*H82</f>
        <v>37020</v>
      </c>
      <c r="O82" s="6" t="str">
        <f aca="false">IF(ISNUMBER(SEARCH(C82,F82)),"","YES")</f>
        <v>YES</v>
      </c>
      <c r="P82" s="6" t="s">
        <v>30</v>
      </c>
      <c r="Q82" s="7" t="s">
        <v>194</v>
      </c>
      <c r="R82" s="7" t="s">
        <v>32</v>
      </c>
    </row>
    <row r="83" customFormat="false" ht="32.8" hidden="false" customHeight="false" outlineLevel="0" collapsed="false">
      <c r="A83" s="6" t="n">
        <v>82</v>
      </c>
      <c r="B83" s="7" t="s">
        <v>195</v>
      </c>
      <c r="C83" s="6" t="s">
        <v>28</v>
      </c>
      <c r="D83" s="6" t="n">
        <v>2</v>
      </c>
      <c r="E83" s="8" t="n">
        <v>3250</v>
      </c>
      <c r="F83" s="7" t="s">
        <v>181</v>
      </c>
      <c r="G83" s="9" t="n">
        <v>16140</v>
      </c>
      <c r="H83" s="9" t="n">
        <v>20990</v>
      </c>
      <c r="I83" s="10" t="n">
        <f aca="false">IF(E83=0,0,(E83-H83)/E83)</f>
        <v>-5.45846153846154</v>
      </c>
      <c r="J83" s="6" t="str">
        <f aca="false">IF(E83&lt;G83,"LOSS",IF(E83&lt;H83*1.1,"THIN / RISK",IF(E83&gt;H83*1.8,"OVERPRICED?","OK")))</f>
        <v>LOSS</v>
      </c>
      <c r="K83" s="8" t="n">
        <f aca="false">IF(J83="OVERPRICED?",ROUND(H83*1.35,-1),MAX(E83,ROUND(H83*(1+$E$3),-1)))</f>
        <v>24140</v>
      </c>
      <c r="L83" s="8" t="n">
        <f aca="false">D83*E83</f>
        <v>6500</v>
      </c>
      <c r="M83" s="8" t="n">
        <f aca="false">D83*K83</f>
        <v>48280</v>
      </c>
      <c r="N83" s="8" t="n">
        <f aca="false">D83*H83</f>
        <v>41980</v>
      </c>
      <c r="O83" s="6" t="str">
        <f aca="false">IF(ISNUMBER(SEARCH(C83,F83)),"","YES")</f>
        <v>YES</v>
      </c>
      <c r="P83" s="6" t="s">
        <v>30</v>
      </c>
      <c r="Q83" s="7" t="s">
        <v>196</v>
      </c>
      <c r="R83" s="7" t="s">
        <v>32</v>
      </c>
    </row>
    <row r="84" customFormat="false" ht="32.8" hidden="false" customHeight="false" outlineLevel="0" collapsed="false">
      <c r="A84" s="6" t="n">
        <v>83</v>
      </c>
      <c r="B84" s="7" t="s">
        <v>197</v>
      </c>
      <c r="C84" s="6" t="s">
        <v>28</v>
      </c>
      <c r="D84" s="6" t="n">
        <v>1</v>
      </c>
      <c r="E84" s="8" t="n">
        <v>4160</v>
      </c>
      <c r="F84" s="7" t="s">
        <v>181</v>
      </c>
      <c r="G84" s="9" t="n">
        <v>19230</v>
      </c>
      <c r="H84" s="9" t="n">
        <v>25000</v>
      </c>
      <c r="I84" s="10" t="n">
        <f aca="false">IF(E84=0,0,(E84-H84)/E84)</f>
        <v>-5.00961538461539</v>
      </c>
      <c r="J84" s="6" t="str">
        <f aca="false">IF(E84&lt;G84,"LOSS",IF(E84&lt;H84*1.1,"THIN / RISK",IF(E84&gt;H84*1.8,"OVERPRICED?","OK")))</f>
        <v>LOSS</v>
      </c>
      <c r="K84" s="8" t="n">
        <f aca="false">IF(J84="OVERPRICED?",ROUND(H84*1.35,-1),MAX(E84,ROUND(H84*(1+$E$3),-1)))</f>
        <v>28750</v>
      </c>
      <c r="L84" s="8" t="n">
        <f aca="false">D84*E84</f>
        <v>4160</v>
      </c>
      <c r="M84" s="8" t="n">
        <f aca="false">D84*K84</f>
        <v>28750</v>
      </c>
      <c r="N84" s="8" t="n">
        <f aca="false">D84*H84</f>
        <v>25000</v>
      </c>
      <c r="O84" s="6" t="str">
        <f aca="false">IF(ISNUMBER(SEARCH(C84,F84)),"","YES")</f>
        <v>YES</v>
      </c>
      <c r="P84" s="6" t="s">
        <v>30</v>
      </c>
      <c r="Q84" s="7" t="s">
        <v>198</v>
      </c>
      <c r="R84" s="7" t="s">
        <v>32</v>
      </c>
    </row>
    <row r="85" customFormat="false" ht="32.8" hidden="false" customHeight="false" outlineLevel="0" collapsed="false">
      <c r="A85" s="6" t="n">
        <v>84</v>
      </c>
      <c r="B85" s="7" t="s">
        <v>199</v>
      </c>
      <c r="C85" s="6" t="s">
        <v>28</v>
      </c>
      <c r="D85" s="6" t="n">
        <v>1</v>
      </c>
      <c r="E85" s="8" t="n">
        <v>5850</v>
      </c>
      <c r="F85" s="7" t="s">
        <v>181</v>
      </c>
      <c r="G85" s="9" t="n">
        <v>26490</v>
      </c>
      <c r="H85" s="9" t="n">
        <v>34430</v>
      </c>
      <c r="I85" s="10" t="n">
        <f aca="false">IF(E85=0,0,(E85-H85)/E85)</f>
        <v>-4.88547008547009</v>
      </c>
      <c r="J85" s="6" t="str">
        <f aca="false">IF(E85&lt;G85,"LOSS",IF(E85&lt;H85*1.1,"THIN / RISK",IF(E85&gt;H85*1.8,"OVERPRICED?","OK")))</f>
        <v>LOSS</v>
      </c>
      <c r="K85" s="8" t="n">
        <f aca="false">IF(J85="OVERPRICED?",ROUND(H85*1.35,-1),MAX(E85,ROUND(H85*(1+$E$3),-1)))</f>
        <v>39590</v>
      </c>
      <c r="L85" s="8" t="n">
        <f aca="false">D85*E85</f>
        <v>5850</v>
      </c>
      <c r="M85" s="8" t="n">
        <f aca="false">D85*K85</f>
        <v>39590</v>
      </c>
      <c r="N85" s="8" t="n">
        <f aca="false">D85*H85</f>
        <v>34430</v>
      </c>
      <c r="O85" s="6" t="str">
        <f aca="false">IF(ISNUMBER(SEARCH(C85,F85)),"","YES")</f>
        <v>YES</v>
      </c>
      <c r="P85" s="6" t="s">
        <v>30</v>
      </c>
      <c r="Q85" s="7" t="s">
        <v>200</v>
      </c>
      <c r="R85" s="7" t="s">
        <v>32</v>
      </c>
    </row>
    <row r="86" customFormat="false" ht="32.8" hidden="false" customHeight="false" outlineLevel="0" collapsed="false">
      <c r="A86" s="6" t="n">
        <v>85</v>
      </c>
      <c r="B86" s="7" t="s">
        <v>201</v>
      </c>
      <c r="C86" s="6" t="s">
        <v>28</v>
      </c>
      <c r="D86" s="6" t="n">
        <v>1</v>
      </c>
      <c r="E86" s="8" t="n">
        <v>8450</v>
      </c>
      <c r="F86" s="7" t="s">
        <v>181</v>
      </c>
      <c r="G86" s="9" t="n">
        <v>38450</v>
      </c>
      <c r="H86" s="9" t="n">
        <v>49980</v>
      </c>
      <c r="I86" s="10" t="n">
        <f aca="false">IF(E86=0,0,(E86-H86)/E86)</f>
        <v>-4.91479289940828</v>
      </c>
      <c r="J86" s="6" t="str">
        <f aca="false">IF(E86&lt;G86,"LOSS",IF(E86&lt;H86*1.1,"THIN / RISK",IF(E86&gt;H86*1.8,"OVERPRICED?","OK")))</f>
        <v>LOSS</v>
      </c>
      <c r="K86" s="8" t="n">
        <f aca="false">IF(J86="OVERPRICED?",ROUND(H86*1.35,-1),MAX(E86,ROUND(H86*(1+$E$3),-1)))</f>
        <v>57480</v>
      </c>
      <c r="L86" s="8" t="n">
        <f aca="false">D86*E86</f>
        <v>8450</v>
      </c>
      <c r="M86" s="8" t="n">
        <f aca="false">D86*K86</f>
        <v>57480</v>
      </c>
      <c r="N86" s="8" t="n">
        <f aca="false">D86*H86</f>
        <v>49980</v>
      </c>
      <c r="O86" s="6" t="str">
        <f aca="false">IF(ISNUMBER(SEARCH(C86,F86)),"","YES")</f>
        <v>YES</v>
      </c>
      <c r="P86" s="6" t="s">
        <v>30</v>
      </c>
      <c r="Q86" s="7" t="s">
        <v>202</v>
      </c>
      <c r="R86" s="7" t="s">
        <v>32</v>
      </c>
    </row>
    <row r="87" customFormat="false" ht="32.8" hidden="false" customHeight="false" outlineLevel="0" collapsed="false">
      <c r="A87" s="6" t="n">
        <v>86</v>
      </c>
      <c r="B87" s="7" t="s">
        <v>203</v>
      </c>
      <c r="C87" s="6" t="s">
        <v>28</v>
      </c>
      <c r="D87" s="6" t="n">
        <v>1</v>
      </c>
      <c r="E87" s="8" t="n">
        <v>9750</v>
      </c>
      <c r="F87" s="7" t="s">
        <v>181</v>
      </c>
      <c r="G87" s="9" t="n">
        <v>44060</v>
      </c>
      <c r="H87" s="9" t="n">
        <v>57270</v>
      </c>
      <c r="I87" s="10" t="n">
        <f aca="false">IF(E87=0,0,(E87-H87)/E87)</f>
        <v>-4.87384615384615</v>
      </c>
      <c r="J87" s="6" t="str">
        <f aca="false">IF(E87&lt;G87,"LOSS",IF(E87&lt;H87*1.1,"THIN / RISK",IF(E87&gt;H87*1.8,"OVERPRICED?","OK")))</f>
        <v>LOSS</v>
      </c>
      <c r="K87" s="8" t="n">
        <f aca="false">IF(J87="OVERPRICED?",ROUND(H87*1.35,-1),MAX(E87,ROUND(H87*(1+$E$3),-1)))</f>
        <v>65860</v>
      </c>
      <c r="L87" s="8" t="n">
        <f aca="false">D87*E87</f>
        <v>9750</v>
      </c>
      <c r="M87" s="8" t="n">
        <f aca="false">D87*K87</f>
        <v>65860</v>
      </c>
      <c r="N87" s="8" t="n">
        <f aca="false">D87*H87</f>
        <v>57270</v>
      </c>
      <c r="O87" s="6" t="str">
        <f aca="false">IF(ISNUMBER(SEARCH(C87,F87)),"","YES")</f>
        <v>YES</v>
      </c>
      <c r="P87" s="6" t="s">
        <v>30</v>
      </c>
      <c r="Q87" s="7" t="s">
        <v>204</v>
      </c>
      <c r="R87" s="7" t="s">
        <v>32</v>
      </c>
    </row>
    <row r="88" customFormat="false" ht="32.8" hidden="false" customHeight="false" outlineLevel="0" collapsed="false">
      <c r="A88" s="6" t="n">
        <v>87</v>
      </c>
      <c r="B88" s="7" t="s">
        <v>205</v>
      </c>
      <c r="C88" s="6" t="s">
        <v>28</v>
      </c>
      <c r="D88" s="6" t="n">
        <v>1</v>
      </c>
      <c r="E88" s="8" t="n">
        <v>11700</v>
      </c>
      <c r="F88" s="7" t="s">
        <v>181</v>
      </c>
      <c r="G88" s="9" t="n">
        <v>52470</v>
      </c>
      <c r="H88" s="9" t="n">
        <v>68210</v>
      </c>
      <c r="I88" s="10" t="n">
        <f aca="false">IF(E88=0,0,(E88-H88)/E88)</f>
        <v>-4.82991452991453</v>
      </c>
      <c r="J88" s="6" t="str">
        <f aca="false">IF(E88&lt;G88,"LOSS",IF(E88&lt;H88*1.1,"THIN / RISK",IF(E88&gt;H88*1.8,"OVERPRICED?","OK")))</f>
        <v>LOSS</v>
      </c>
      <c r="K88" s="8" t="n">
        <f aca="false">IF(J88="OVERPRICED?",ROUND(H88*1.35,-1),MAX(E88,ROUND(H88*(1+$E$3),-1)))</f>
        <v>78440</v>
      </c>
      <c r="L88" s="8" t="n">
        <f aca="false">D88*E88</f>
        <v>11700</v>
      </c>
      <c r="M88" s="8" t="n">
        <f aca="false">D88*K88</f>
        <v>78440</v>
      </c>
      <c r="N88" s="8" t="n">
        <f aca="false">D88*H88</f>
        <v>68210</v>
      </c>
      <c r="O88" s="6" t="str">
        <f aca="false">IF(ISNUMBER(SEARCH(C88,F88)),"","YES")</f>
        <v>YES</v>
      </c>
      <c r="P88" s="6" t="s">
        <v>30</v>
      </c>
      <c r="Q88" s="7" t="s">
        <v>206</v>
      </c>
      <c r="R88" s="7" t="s">
        <v>32</v>
      </c>
    </row>
    <row r="89" customFormat="false" ht="22.35" hidden="false" customHeight="false" outlineLevel="0" collapsed="false">
      <c r="A89" s="6" t="n">
        <v>88</v>
      </c>
      <c r="B89" s="7" t="s">
        <v>207</v>
      </c>
      <c r="C89" s="6" t="s">
        <v>28</v>
      </c>
      <c r="D89" s="6" t="n">
        <v>2</v>
      </c>
      <c r="E89" s="8" t="n">
        <v>4550</v>
      </c>
      <c r="F89" s="7" t="s">
        <v>167</v>
      </c>
      <c r="G89" s="9" t="n">
        <v>3500</v>
      </c>
      <c r="H89" s="9" t="n">
        <v>5000</v>
      </c>
      <c r="I89" s="10" t="n">
        <f aca="false">IF(E89=0,0,(E89-H89)/E89)</f>
        <v>-0.0989010989010989</v>
      </c>
      <c r="J89" s="6" t="str">
        <f aca="false">IF(E89&lt;G89,"LOSS",IF(E89&lt;H89*1.1,"THIN / RISK",IF(E89&gt;H89*1.8,"OVERPRICED?","OK")))</f>
        <v>THIN / RISK</v>
      </c>
      <c r="K89" s="8" t="n">
        <f aca="false">IF(J89="OVERPRICED?",ROUND(H89*1.35,-1),MAX(E89,ROUND(H89*(1+$E$3),-1)))</f>
        <v>5750</v>
      </c>
      <c r="L89" s="8" t="n">
        <f aca="false">D89*E89</f>
        <v>9100</v>
      </c>
      <c r="M89" s="8" t="n">
        <f aca="false">D89*K89</f>
        <v>11500</v>
      </c>
      <c r="N89" s="8" t="n">
        <f aca="false">D89*H89</f>
        <v>10000</v>
      </c>
      <c r="O89" s="6" t="str">
        <f aca="false">IF(ISNUMBER(SEARCH(C89,F89)),"","YES")</f>
        <v>YES</v>
      </c>
      <c r="P89" s="6" t="s">
        <v>30</v>
      </c>
      <c r="Q89" s="7" t="s">
        <v>145</v>
      </c>
      <c r="R89" s="7" t="s">
        <v>32</v>
      </c>
    </row>
    <row r="90" customFormat="false" ht="22.35" hidden="false" customHeight="false" outlineLevel="0" collapsed="false">
      <c r="A90" s="6" t="n">
        <v>89</v>
      </c>
      <c r="B90" s="7" t="s">
        <v>207</v>
      </c>
      <c r="C90" s="6" t="s">
        <v>28</v>
      </c>
      <c r="D90" s="6" t="n">
        <v>2</v>
      </c>
      <c r="E90" s="8" t="n">
        <v>5850</v>
      </c>
      <c r="F90" s="7" t="s">
        <v>167</v>
      </c>
      <c r="G90" s="9" t="n">
        <v>4500</v>
      </c>
      <c r="H90" s="9" t="n">
        <v>6500</v>
      </c>
      <c r="I90" s="10" t="n">
        <f aca="false">IF(E90=0,0,(E90-H90)/E90)</f>
        <v>-0.111111111111111</v>
      </c>
      <c r="J90" s="6" t="str">
        <f aca="false">IF(E90&lt;G90,"LOSS",IF(E90&lt;H90*1.1,"THIN / RISK",IF(E90&gt;H90*1.8,"OVERPRICED?","OK")))</f>
        <v>THIN / RISK</v>
      </c>
      <c r="K90" s="8" t="n">
        <f aca="false">IF(J90="OVERPRICED?",ROUND(H90*1.35,-1),MAX(E90,ROUND(H90*(1+$E$3),-1)))</f>
        <v>7480</v>
      </c>
      <c r="L90" s="8" t="n">
        <f aca="false">D90*E90</f>
        <v>11700</v>
      </c>
      <c r="M90" s="8" t="n">
        <f aca="false">D90*K90</f>
        <v>14960</v>
      </c>
      <c r="N90" s="8" t="n">
        <f aca="false">D90*H90</f>
        <v>13000</v>
      </c>
      <c r="O90" s="6" t="str">
        <f aca="false">IF(ISNUMBER(SEARCH(C90,F90)),"","YES")</f>
        <v>YES</v>
      </c>
      <c r="P90" s="6" t="s">
        <v>30</v>
      </c>
      <c r="Q90" s="7" t="s">
        <v>145</v>
      </c>
      <c r="R90" s="7" t="s">
        <v>32</v>
      </c>
    </row>
    <row r="91" customFormat="false" ht="22.35" hidden="false" customHeight="false" outlineLevel="0" collapsed="false">
      <c r="A91" s="6" t="n">
        <v>90</v>
      </c>
      <c r="B91" s="7" t="s">
        <v>207</v>
      </c>
      <c r="C91" s="6" t="s">
        <v>28</v>
      </c>
      <c r="D91" s="6" t="n">
        <v>2</v>
      </c>
      <c r="E91" s="8" t="n">
        <v>7150</v>
      </c>
      <c r="F91" s="7" t="s">
        <v>167</v>
      </c>
      <c r="G91" s="9" t="n">
        <v>5500</v>
      </c>
      <c r="H91" s="9" t="n">
        <v>8000</v>
      </c>
      <c r="I91" s="10" t="n">
        <f aca="false">IF(E91=0,0,(E91-H91)/E91)</f>
        <v>-0.118881118881119</v>
      </c>
      <c r="J91" s="6" t="str">
        <f aca="false">IF(E91&lt;G91,"LOSS",IF(E91&lt;H91*1.1,"THIN / RISK",IF(E91&gt;H91*1.8,"OVERPRICED?","OK")))</f>
        <v>THIN / RISK</v>
      </c>
      <c r="K91" s="8" t="n">
        <f aca="false">IF(J91="OVERPRICED?",ROUND(H91*1.35,-1),MAX(E91,ROUND(H91*(1+$E$3),-1)))</f>
        <v>9200</v>
      </c>
      <c r="L91" s="8" t="n">
        <f aca="false">D91*E91</f>
        <v>14300</v>
      </c>
      <c r="M91" s="8" t="n">
        <f aca="false">D91*K91</f>
        <v>18400</v>
      </c>
      <c r="N91" s="8" t="n">
        <f aca="false">D91*H91</f>
        <v>16000</v>
      </c>
      <c r="O91" s="6" t="str">
        <f aca="false">IF(ISNUMBER(SEARCH(C91,F91)),"","YES")</f>
        <v>YES</v>
      </c>
      <c r="P91" s="6" t="s">
        <v>30</v>
      </c>
      <c r="Q91" s="7" t="s">
        <v>145</v>
      </c>
      <c r="R91" s="7" t="s">
        <v>32</v>
      </c>
    </row>
    <row r="92" customFormat="false" ht="15" hidden="false" customHeight="false" outlineLevel="0" collapsed="false">
      <c r="A92" s="6" t="n">
        <v>91</v>
      </c>
      <c r="B92" s="7" t="s">
        <v>208</v>
      </c>
      <c r="C92" s="6" t="s">
        <v>28</v>
      </c>
      <c r="D92" s="6" t="n">
        <v>2</v>
      </c>
      <c r="E92" s="8" t="n">
        <v>2340</v>
      </c>
      <c r="F92" s="7" t="s">
        <v>167</v>
      </c>
      <c r="G92" s="9" t="n">
        <v>2500</v>
      </c>
      <c r="H92" s="9" t="n">
        <v>3500</v>
      </c>
      <c r="I92" s="10" t="n">
        <f aca="false">IF(E92=0,0,(E92-H92)/E92)</f>
        <v>-0.495726495726496</v>
      </c>
      <c r="J92" s="6" t="str">
        <f aca="false">IF(E92&lt;G92,"LOSS",IF(E92&lt;H92*1.1,"THIN / RISK",IF(E92&gt;H92*1.8,"OVERPRICED?","OK")))</f>
        <v>LOSS</v>
      </c>
      <c r="K92" s="8" t="n">
        <f aca="false">IF(J92="OVERPRICED?",ROUND(H92*1.35,-1),MAX(E92,ROUND(H92*(1+$E$3),-1)))</f>
        <v>4030</v>
      </c>
      <c r="L92" s="8" t="n">
        <f aca="false">D92*E92</f>
        <v>4680</v>
      </c>
      <c r="M92" s="8" t="n">
        <f aca="false">D92*K92</f>
        <v>8060</v>
      </c>
      <c r="N92" s="8" t="n">
        <f aca="false">D92*H92</f>
        <v>7000</v>
      </c>
      <c r="O92" s="6" t="str">
        <f aca="false">IF(ISNUMBER(SEARCH(C92,F92)),"","YES")</f>
        <v>YES</v>
      </c>
      <c r="P92" s="6" t="s">
        <v>30</v>
      </c>
      <c r="Q92" s="7" t="s">
        <v>145</v>
      </c>
      <c r="R92" s="7" t="s">
        <v>32</v>
      </c>
    </row>
    <row r="93" customFormat="false" ht="15" hidden="false" customHeight="false" outlineLevel="0" collapsed="false">
      <c r="A93" s="6" t="n">
        <v>92</v>
      </c>
      <c r="B93" s="7" t="s">
        <v>209</v>
      </c>
      <c r="C93" s="6" t="s">
        <v>28</v>
      </c>
      <c r="D93" s="6" t="n">
        <v>2</v>
      </c>
      <c r="E93" s="8" t="n">
        <v>2860</v>
      </c>
      <c r="F93" s="7" t="s">
        <v>167</v>
      </c>
      <c r="G93" s="9" t="n">
        <v>3000</v>
      </c>
      <c r="H93" s="9" t="n">
        <v>4000</v>
      </c>
      <c r="I93" s="10" t="n">
        <f aca="false">IF(E93=0,0,(E93-H93)/E93)</f>
        <v>-0.398601398601399</v>
      </c>
      <c r="J93" s="6" t="str">
        <f aca="false">IF(E93&lt;G93,"LOSS",IF(E93&lt;H93*1.1,"THIN / RISK",IF(E93&gt;H93*1.8,"OVERPRICED?","OK")))</f>
        <v>LOSS</v>
      </c>
      <c r="K93" s="8" t="n">
        <f aca="false">IF(J93="OVERPRICED?",ROUND(H93*1.35,-1),MAX(E93,ROUND(H93*(1+$E$3),-1)))</f>
        <v>4600</v>
      </c>
      <c r="L93" s="8" t="n">
        <f aca="false">D93*E93</f>
        <v>5720</v>
      </c>
      <c r="M93" s="8" t="n">
        <f aca="false">D93*K93</f>
        <v>9200</v>
      </c>
      <c r="N93" s="8" t="n">
        <f aca="false">D93*H93</f>
        <v>8000</v>
      </c>
      <c r="O93" s="6" t="str">
        <f aca="false">IF(ISNUMBER(SEARCH(C93,F93)),"","YES")</f>
        <v>YES</v>
      </c>
      <c r="P93" s="6" t="s">
        <v>30</v>
      </c>
      <c r="Q93" s="7" t="s">
        <v>145</v>
      </c>
      <c r="R93" s="7" t="s">
        <v>32</v>
      </c>
    </row>
    <row r="94" customFormat="false" ht="22.35" hidden="false" customHeight="false" outlineLevel="0" collapsed="false">
      <c r="A94" s="6" t="n">
        <v>93</v>
      </c>
      <c r="B94" s="7" t="s">
        <v>210</v>
      </c>
      <c r="C94" s="6" t="s">
        <v>170</v>
      </c>
      <c r="D94" s="6" t="n">
        <v>2</v>
      </c>
      <c r="E94" s="8" t="n">
        <v>25350</v>
      </c>
      <c r="F94" s="7" t="s">
        <v>170</v>
      </c>
      <c r="G94" s="9" t="n">
        <v>18100</v>
      </c>
      <c r="H94" s="9" t="n">
        <v>18100</v>
      </c>
      <c r="I94" s="10" t="n">
        <f aca="false">IF(E94=0,0,(E94-H94)/E94)</f>
        <v>0.285996055226825</v>
      </c>
      <c r="J94" s="6" t="str">
        <f aca="false">IF(E94&lt;G94,"LOSS",IF(E94&lt;H94*1.1,"THIN / RISK",IF(E94&gt;H94*1.8,"OVERPRICED?","OK")))</f>
        <v>OK</v>
      </c>
      <c r="K94" s="8" t="n">
        <f aca="false">IF(J94="OVERPRICED?",ROUND(H94*1.35,-1),MAX(E94,ROUND(H94*(1+$E$3),-1)))</f>
        <v>25350</v>
      </c>
      <c r="L94" s="8" t="n">
        <f aca="false">D94*E94</f>
        <v>50700</v>
      </c>
      <c r="M94" s="8" t="n">
        <f aca="false">D94*K94</f>
        <v>50700</v>
      </c>
      <c r="N94" s="8" t="n">
        <f aca="false">D94*H94</f>
        <v>36200</v>
      </c>
      <c r="O94" s="6" t="str">
        <f aca="false">IF(ISNUMBER(SEARCH(C94,F94)),"","YES")</f>
        <v/>
      </c>
      <c r="P94" s="6" t="s">
        <v>44</v>
      </c>
      <c r="Q94" s="7" t="s">
        <v>211</v>
      </c>
      <c r="R94" s="7"/>
    </row>
    <row r="95" customFormat="false" ht="15" hidden="false" customHeight="false" outlineLevel="0" collapsed="false">
      <c r="A95" s="6" t="n">
        <v>94</v>
      </c>
      <c r="B95" s="7" t="s">
        <v>212</v>
      </c>
      <c r="C95" s="6" t="s">
        <v>170</v>
      </c>
      <c r="D95" s="6" t="n">
        <v>3</v>
      </c>
      <c r="E95" s="8" t="n">
        <v>8138</v>
      </c>
      <c r="F95" s="7" t="s">
        <v>170</v>
      </c>
      <c r="G95" s="9" t="n">
        <v>15800</v>
      </c>
      <c r="H95" s="9" t="n">
        <v>15800</v>
      </c>
      <c r="I95" s="10" t="n">
        <f aca="false">IF(E95=0,0,(E95-H95)/E95)</f>
        <v>-0.941508970262964</v>
      </c>
      <c r="J95" s="6" t="str">
        <f aca="false">IF(E95&lt;G95,"LOSS",IF(E95&lt;H95*1.1,"THIN / RISK",IF(E95&gt;H95*1.8,"OVERPRICED?","OK")))</f>
        <v>LOSS</v>
      </c>
      <c r="K95" s="8" t="n">
        <f aca="false">IF(J95="OVERPRICED?",ROUND(H95*1.35,-1),MAX(E95,ROUND(H95*(1+$E$3),-1)))</f>
        <v>18170</v>
      </c>
      <c r="L95" s="8" t="n">
        <f aca="false">D95*E95</f>
        <v>24414</v>
      </c>
      <c r="M95" s="8" t="n">
        <f aca="false">D95*K95</f>
        <v>54510</v>
      </c>
      <c r="N95" s="8" t="n">
        <f aca="false">D95*H95</f>
        <v>47400</v>
      </c>
      <c r="O95" s="6" t="str">
        <f aca="false">IF(ISNUMBER(SEARCH(C95,F95)),"","YES")</f>
        <v/>
      </c>
      <c r="P95" s="6" t="s">
        <v>44</v>
      </c>
      <c r="Q95" s="7" t="s">
        <v>213</v>
      </c>
      <c r="R95" s="7"/>
    </row>
    <row r="96" customFormat="false" ht="15" hidden="false" customHeight="false" outlineLevel="0" collapsed="false">
      <c r="A96" s="6" t="n">
        <v>95</v>
      </c>
      <c r="B96" s="7" t="s">
        <v>214</v>
      </c>
      <c r="C96" s="6" t="s">
        <v>170</v>
      </c>
      <c r="D96" s="6" t="n">
        <v>3</v>
      </c>
      <c r="E96" s="8" t="n">
        <v>6370</v>
      </c>
      <c r="F96" s="7" t="s">
        <v>170</v>
      </c>
      <c r="G96" s="9" t="n">
        <v>7928</v>
      </c>
      <c r="H96" s="9" t="n">
        <v>7928</v>
      </c>
      <c r="I96" s="10" t="n">
        <f aca="false">IF(E96=0,0,(E96-H96)/E96)</f>
        <v>-0.24458398744113</v>
      </c>
      <c r="J96" s="6" t="str">
        <f aca="false">IF(E96&lt;G96,"LOSS",IF(E96&lt;H96*1.1,"THIN / RISK",IF(E96&gt;H96*1.8,"OVERPRICED?","OK")))</f>
        <v>LOSS</v>
      </c>
      <c r="K96" s="8" t="n">
        <f aca="false">IF(J96="OVERPRICED?",ROUND(H96*1.35,-1),MAX(E96,ROUND(H96*(1+$E$3),-1)))</f>
        <v>9120</v>
      </c>
      <c r="L96" s="8" t="n">
        <f aca="false">D96*E96</f>
        <v>19110</v>
      </c>
      <c r="M96" s="8" t="n">
        <f aca="false">D96*K96</f>
        <v>27360</v>
      </c>
      <c r="N96" s="8" t="n">
        <f aca="false">D96*H96</f>
        <v>23784</v>
      </c>
      <c r="O96" s="6" t="str">
        <f aca="false">IF(ISNUMBER(SEARCH(C96,F96)),"","YES")</f>
        <v/>
      </c>
      <c r="P96" s="6" t="s">
        <v>44</v>
      </c>
      <c r="Q96" s="7" t="s">
        <v>215</v>
      </c>
      <c r="R96" s="7"/>
    </row>
    <row r="97" customFormat="false" ht="22.35" hidden="false" customHeight="false" outlineLevel="0" collapsed="false">
      <c r="A97" s="6" t="n">
        <v>96</v>
      </c>
      <c r="B97" s="7" t="s">
        <v>216</v>
      </c>
      <c r="C97" s="6" t="s">
        <v>28</v>
      </c>
      <c r="D97" s="6" t="n">
        <v>2</v>
      </c>
      <c r="E97" s="8" t="n">
        <v>14950</v>
      </c>
      <c r="F97" s="7" t="s">
        <v>170</v>
      </c>
      <c r="G97" s="9" t="n">
        <v>15000</v>
      </c>
      <c r="H97" s="9" t="n">
        <v>20000</v>
      </c>
      <c r="I97" s="10" t="n">
        <f aca="false">IF(E97=0,0,(E97-H97)/E97)</f>
        <v>-0.337792642140468</v>
      </c>
      <c r="J97" s="6" t="str">
        <f aca="false">IF(E97&lt;G97,"LOSS",IF(E97&lt;H97*1.1,"THIN / RISK",IF(E97&gt;H97*1.8,"OVERPRICED?","OK")))</f>
        <v>LOSS</v>
      </c>
      <c r="K97" s="8" t="n">
        <f aca="false">IF(J97="OVERPRICED?",ROUND(H97*1.35,-1),MAX(E97,ROUND(H97*(1+$E$3),-1)))</f>
        <v>23000</v>
      </c>
      <c r="L97" s="8" t="n">
        <f aca="false">D97*E97</f>
        <v>29900</v>
      </c>
      <c r="M97" s="8" t="n">
        <f aca="false">D97*K97</f>
        <v>46000</v>
      </c>
      <c r="N97" s="8" t="n">
        <f aca="false">D97*H97</f>
        <v>40000</v>
      </c>
      <c r="O97" s="6" t="str">
        <f aca="false">IF(ISNUMBER(SEARCH(C97,F97)),"","YES")</f>
        <v>YES</v>
      </c>
      <c r="P97" s="6" t="s">
        <v>30</v>
      </c>
      <c r="Q97" s="7" t="s">
        <v>145</v>
      </c>
      <c r="R97" s="7" t="s">
        <v>217</v>
      </c>
    </row>
    <row r="98" customFormat="false" ht="22.35" hidden="false" customHeight="false" outlineLevel="0" collapsed="false">
      <c r="A98" s="6" t="n">
        <v>97</v>
      </c>
      <c r="B98" s="7" t="s">
        <v>218</v>
      </c>
      <c r="C98" s="6" t="s">
        <v>111</v>
      </c>
      <c r="D98" s="6" t="n">
        <v>2</v>
      </c>
      <c r="E98" s="8" t="n">
        <v>286000</v>
      </c>
      <c r="F98" s="7" t="s">
        <v>111</v>
      </c>
      <c r="G98" s="9" t="n">
        <v>199500</v>
      </c>
      <c r="H98" s="9" t="n">
        <v>199500</v>
      </c>
      <c r="I98" s="10" t="n">
        <f aca="false">IF(E98=0,0,(E98-H98)/E98)</f>
        <v>0.302447552447552</v>
      </c>
      <c r="J98" s="6" t="str">
        <f aca="false">IF(E98&lt;G98,"LOSS",IF(E98&lt;H98*1.1,"THIN / RISK",IF(E98&gt;H98*1.8,"OVERPRICED?","OK")))</f>
        <v>OK</v>
      </c>
      <c r="K98" s="8" t="n">
        <f aca="false">IF(J98="OVERPRICED?",ROUND(H98*1.35,-1),MAX(E98,ROUND(H98*(1+$E$3),-1)))</f>
        <v>286000</v>
      </c>
      <c r="L98" s="8" t="n">
        <f aca="false">D98*E98</f>
        <v>572000</v>
      </c>
      <c r="M98" s="8" t="n">
        <f aca="false">D98*K98</f>
        <v>572000</v>
      </c>
      <c r="N98" s="8" t="n">
        <f aca="false">D98*H98</f>
        <v>399000</v>
      </c>
      <c r="O98" s="6" t="str">
        <f aca="false">IF(ISNUMBER(SEARCH(C98,F98)),"","YES")</f>
        <v/>
      </c>
      <c r="P98" s="6" t="s">
        <v>24</v>
      </c>
      <c r="Q98" s="7" t="s">
        <v>219</v>
      </c>
      <c r="R98" s="7" t="s">
        <v>26</v>
      </c>
    </row>
    <row r="99" customFormat="false" ht="15" hidden="false" customHeight="false" outlineLevel="0" collapsed="false">
      <c r="A99" s="6" t="n">
        <v>98</v>
      </c>
      <c r="B99" s="7" t="s">
        <v>220</v>
      </c>
      <c r="C99" s="6" t="s">
        <v>221</v>
      </c>
      <c r="D99" s="6" t="n">
        <v>1</v>
      </c>
      <c r="E99" s="8" t="n">
        <v>15600</v>
      </c>
      <c r="F99" s="7" t="s">
        <v>221</v>
      </c>
      <c r="G99" s="9" t="n">
        <v>12000</v>
      </c>
      <c r="H99" s="9" t="n">
        <v>16000</v>
      </c>
      <c r="I99" s="10" t="n">
        <f aca="false">IF(E99=0,0,(E99-H99)/E99)</f>
        <v>-0.0256410256410256</v>
      </c>
      <c r="J99" s="6" t="str">
        <f aca="false">IF(E99&lt;G99,"LOSS",IF(E99&lt;H99*1.1,"THIN / RISK",IF(E99&gt;H99*1.8,"OVERPRICED?","OK")))</f>
        <v>THIN / RISK</v>
      </c>
      <c r="K99" s="8" t="n">
        <f aca="false">IF(J99="OVERPRICED?",ROUND(H99*1.35,-1),MAX(E99,ROUND(H99*(1+$E$3),-1)))</f>
        <v>18400</v>
      </c>
      <c r="L99" s="8" t="n">
        <f aca="false">D99*E99</f>
        <v>15600</v>
      </c>
      <c r="M99" s="8" t="n">
        <f aca="false">D99*K99</f>
        <v>18400</v>
      </c>
      <c r="N99" s="8" t="n">
        <f aca="false">D99*H99</f>
        <v>16000</v>
      </c>
      <c r="O99" s="6" t="str">
        <f aca="false">IF(ISNUMBER(SEARCH(C99,F99)),"","YES")</f>
        <v/>
      </c>
      <c r="P99" s="6" t="s">
        <v>30</v>
      </c>
      <c r="Q99" s="7" t="s">
        <v>145</v>
      </c>
      <c r="R99" s="7" t="s">
        <v>32</v>
      </c>
    </row>
    <row r="100" customFormat="false" ht="15" hidden="false" customHeight="false" outlineLevel="0" collapsed="false">
      <c r="A100" s="6" t="n">
        <v>99</v>
      </c>
      <c r="B100" s="7" t="s">
        <v>222</v>
      </c>
      <c r="C100" s="6" t="s">
        <v>28</v>
      </c>
      <c r="D100" s="6" t="n">
        <v>1</v>
      </c>
      <c r="E100" s="8" t="n">
        <v>11050</v>
      </c>
      <c r="F100" s="7" t="s">
        <v>223</v>
      </c>
      <c r="G100" s="9" t="n">
        <v>8000</v>
      </c>
      <c r="H100" s="9" t="n">
        <v>11000</v>
      </c>
      <c r="I100" s="10" t="n">
        <f aca="false">IF(E100=0,0,(E100-H100)/E100)</f>
        <v>0.00452488687782806</v>
      </c>
      <c r="J100" s="6" t="str">
        <f aca="false">IF(E100&lt;G100,"LOSS",IF(E100&lt;H100*1.1,"THIN / RISK",IF(E100&gt;H100*1.8,"OVERPRICED?","OK")))</f>
        <v>THIN / RISK</v>
      </c>
      <c r="K100" s="8" t="n">
        <f aca="false">IF(J100="OVERPRICED?",ROUND(H100*1.35,-1),MAX(E100,ROUND(H100*(1+$E$3),-1)))</f>
        <v>12650</v>
      </c>
      <c r="L100" s="8" t="n">
        <f aca="false">D100*E100</f>
        <v>11050</v>
      </c>
      <c r="M100" s="8" t="n">
        <f aca="false">D100*K100</f>
        <v>12650</v>
      </c>
      <c r="N100" s="8" t="n">
        <f aca="false">D100*H100</f>
        <v>11000</v>
      </c>
      <c r="O100" s="6" t="str">
        <f aca="false">IF(ISNUMBER(SEARCH(C100,F100)),"","YES")</f>
        <v>YES</v>
      </c>
      <c r="P100" s="6" t="s">
        <v>30</v>
      </c>
      <c r="Q100" s="7" t="s">
        <v>145</v>
      </c>
      <c r="R100" s="7" t="s">
        <v>32</v>
      </c>
    </row>
    <row r="101" customFormat="false" ht="15" hidden="false" customHeight="false" outlineLevel="0" collapsed="false">
      <c r="A101" s="6" t="n">
        <v>100</v>
      </c>
      <c r="B101" s="7" t="s">
        <v>224</v>
      </c>
      <c r="C101" s="6" t="s">
        <v>28</v>
      </c>
      <c r="D101" s="6" t="n">
        <v>1</v>
      </c>
      <c r="E101" s="8" t="n">
        <v>9100</v>
      </c>
      <c r="F101" s="7" t="s">
        <v>223</v>
      </c>
      <c r="G101" s="9" t="n">
        <v>6500</v>
      </c>
      <c r="H101" s="9" t="n">
        <v>9000</v>
      </c>
      <c r="I101" s="10" t="n">
        <f aca="false">IF(E101=0,0,(E101-H101)/E101)</f>
        <v>0.010989010989011</v>
      </c>
      <c r="J101" s="6" t="str">
        <f aca="false">IF(E101&lt;G101,"LOSS",IF(E101&lt;H101*1.1,"THIN / RISK",IF(E101&gt;H101*1.8,"OVERPRICED?","OK")))</f>
        <v>THIN / RISK</v>
      </c>
      <c r="K101" s="8" t="n">
        <f aca="false">IF(J101="OVERPRICED?",ROUND(H101*1.35,-1),MAX(E101,ROUND(H101*(1+$E$3),-1)))</f>
        <v>10350</v>
      </c>
      <c r="L101" s="8" t="n">
        <f aca="false">D101*E101</f>
        <v>9100</v>
      </c>
      <c r="M101" s="8" t="n">
        <f aca="false">D101*K101</f>
        <v>10350</v>
      </c>
      <c r="N101" s="8" t="n">
        <f aca="false">D101*H101</f>
        <v>9000</v>
      </c>
      <c r="O101" s="6" t="str">
        <f aca="false">IF(ISNUMBER(SEARCH(C101,F101)),"","YES")</f>
        <v>YES</v>
      </c>
      <c r="P101" s="6" t="s">
        <v>30</v>
      </c>
      <c r="Q101" s="7" t="s">
        <v>145</v>
      </c>
      <c r="R101" s="7" t="s">
        <v>32</v>
      </c>
    </row>
    <row r="102" customFormat="false" ht="15" hidden="false" customHeight="false" outlineLevel="0" collapsed="false">
      <c r="A102" s="6" t="n">
        <v>101</v>
      </c>
      <c r="B102" s="7" t="s">
        <v>225</v>
      </c>
      <c r="C102" s="6" t="s">
        <v>28</v>
      </c>
      <c r="D102" s="6" t="n">
        <v>3</v>
      </c>
      <c r="E102" s="8" t="n">
        <v>7150</v>
      </c>
      <c r="F102" s="7" t="s">
        <v>223</v>
      </c>
      <c r="G102" s="9" t="n">
        <v>5500</v>
      </c>
      <c r="H102" s="9" t="n">
        <v>7500</v>
      </c>
      <c r="I102" s="10" t="n">
        <f aca="false">IF(E102=0,0,(E102-H102)/E102)</f>
        <v>-0.048951048951049</v>
      </c>
      <c r="J102" s="6" t="str">
        <f aca="false">IF(E102&lt;G102,"LOSS",IF(E102&lt;H102*1.1,"THIN / RISK",IF(E102&gt;H102*1.8,"OVERPRICED?","OK")))</f>
        <v>THIN / RISK</v>
      </c>
      <c r="K102" s="8" t="n">
        <f aca="false">IF(J102="OVERPRICED?",ROUND(H102*1.35,-1),MAX(E102,ROUND(H102*(1+$E$3),-1)))</f>
        <v>8630</v>
      </c>
      <c r="L102" s="8" t="n">
        <f aca="false">D102*E102</f>
        <v>21450</v>
      </c>
      <c r="M102" s="8" t="n">
        <f aca="false">D102*K102</f>
        <v>25890</v>
      </c>
      <c r="N102" s="8" t="n">
        <f aca="false">D102*H102</f>
        <v>22500</v>
      </c>
      <c r="O102" s="6" t="str">
        <f aca="false">IF(ISNUMBER(SEARCH(C102,F102)),"","YES")</f>
        <v>YES</v>
      </c>
      <c r="P102" s="6" t="s">
        <v>30</v>
      </c>
      <c r="Q102" s="7" t="s">
        <v>145</v>
      </c>
      <c r="R102" s="7" t="s">
        <v>32</v>
      </c>
    </row>
    <row r="103" customFormat="false" ht="15" hidden="false" customHeight="false" outlineLevel="0" collapsed="false">
      <c r="A103" s="6" t="n">
        <v>102</v>
      </c>
      <c r="B103" s="7" t="s">
        <v>226</v>
      </c>
      <c r="C103" s="6" t="s">
        <v>28</v>
      </c>
      <c r="D103" s="6" t="n">
        <v>3</v>
      </c>
      <c r="E103" s="8" t="n">
        <v>5850</v>
      </c>
      <c r="F103" s="7" t="s">
        <v>223</v>
      </c>
      <c r="G103" s="9" t="n">
        <v>4500</v>
      </c>
      <c r="H103" s="9" t="n">
        <v>6000</v>
      </c>
      <c r="I103" s="10" t="n">
        <f aca="false">IF(E103=0,0,(E103-H103)/E103)</f>
        <v>-0.0256410256410256</v>
      </c>
      <c r="J103" s="6" t="str">
        <f aca="false">IF(E103&lt;G103,"LOSS",IF(E103&lt;H103*1.1,"THIN / RISK",IF(E103&gt;H103*1.8,"OVERPRICED?","OK")))</f>
        <v>THIN / RISK</v>
      </c>
      <c r="K103" s="8" t="n">
        <f aca="false">IF(J103="OVERPRICED?",ROUND(H103*1.35,-1),MAX(E103,ROUND(H103*(1+$E$3),-1)))</f>
        <v>6900</v>
      </c>
      <c r="L103" s="8" t="n">
        <f aca="false">D103*E103</f>
        <v>17550</v>
      </c>
      <c r="M103" s="8" t="n">
        <f aca="false">D103*K103</f>
        <v>20700</v>
      </c>
      <c r="N103" s="8" t="n">
        <f aca="false">D103*H103</f>
        <v>18000</v>
      </c>
      <c r="O103" s="6" t="str">
        <f aca="false">IF(ISNUMBER(SEARCH(C103,F103)),"","YES")</f>
        <v>YES</v>
      </c>
      <c r="P103" s="6" t="s">
        <v>30</v>
      </c>
      <c r="Q103" s="7" t="s">
        <v>145</v>
      </c>
      <c r="R103" s="7" t="s">
        <v>32</v>
      </c>
    </row>
    <row r="104" customFormat="false" ht="22.35" hidden="false" customHeight="false" outlineLevel="0" collapsed="false">
      <c r="A104" s="6" t="n">
        <v>103</v>
      </c>
      <c r="B104" s="7" t="s">
        <v>227</v>
      </c>
      <c r="C104" s="6" t="s">
        <v>22</v>
      </c>
      <c r="D104" s="6" t="n">
        <v>12</v>
      </c>
      <c r="E104" s="8" t="n">
        <v>715</v>
      </c>
      <c r="F104" s="7" t="s">
        <v>54</v>
      </c>
      <c r="G104" s="9" t="n">
        <v>540</v>
      </c>
      <c r="H104" s="9" t="n">
        <v>540</v>
      </c>
      <c r="I104" s="10" t="n">
        <f aca="false">IF(E104=0,0,(E104-H104)/E104)</f>
        <v>0.244755244755245</v>
      </c>
      <c r="J104" s="6" t="str">
        <f aca="false">IF(E104&lt;G104,"LOSS",IF(E104&lt;H104*1.1,"THIN / RISK",IF(E104&gt;H104*1.8,"OVERPRICED?","OK")))</f>
        <v>OK</v>
      </c>
      <c r="K104" s="8" t="n">
        <f aca="false">IF(J104="OVERPRICED?",ROUND(H104*1.35,-1),MAX(E104,ROUND(H104*(1+$E$3),-1)))</f>
        <v>715</v>
      </c>
      <c r="L104" s="8" t="n">
        <f aca="false">D104*E104</f>
        <v>8580</v>
      </c>
      <c r="M104" s="8" t="n">
        <f aca="false">D104*K104</f>
        <v>8580</v>
      </c>
      <c r="N104" s="8" t="n">
        <f aca="false">D104*H104</f>
        <v>6480</v>
      </c>
      <c r="O104" s="6" t="str">
        <f aca="false">IF(ISNUMBER(SEARCH(C104,F104)),"","YES")</f>
        <v>YES</v>
      </c>
      <c r="P104" s="6" t="s">
        <v>44</v>
      </c>
      <c r="Q104" s="7" t="s">
        <v>228</v>
      </c>
      <c r="R104" s="7"/>
    </row>
    <row r="105" customFormat="false" ht="32.8" hidden="false" customHeight="false" outlineLevel="0" collapsed="false">
      <c r="A105" s="6" t="n">
        <v>104</v>
      </c>
      <c r="B105" s="7" t="s">
        <v>229</v>
      </c>
      <c r="C105" s="6" t="s">
        <v>22</v>
      </c>
      <c r="D105" s="6" t="n">
        <v>4</v>
      </c>
      <c r="E105" s="8" t="n">
        <v>1274</v>
      </c>
      <c r="F105" s="7" t="s">
        <v>22</v>
      </c>
      <c r="G105" s="9" t="n">
        <v>700</v>
      </c>
      <c r="H105" s="9" t="n">
        <v>1000</v>
      </c>
      <c r="I105" s="10" t="n">
        <f aca="false">IF(E105=0,0,(E105-H105)/E105)</f>
        <v>0.215070643642072</v>
      </c>
      <c r="J105" s="6" t="str">
        <f aca="false">IF(E105&lt;G105,"LOSS",IF(E105&lt;H105*1.1,"THIN / RISK",IF(E105&gt;H105*1.8,"OVERPRICED?","OK")))</f>
        <v>OK</v>
      </c>
      <c r="K105" s="8" t="n">
        <f aca="false">IF(J105="OVERPRICED?",ROUND(H105*1.35,-1),MAX(E105,ROUND(H105*(1+$E$3),-1)))</f>
        <v>1274</v>
      </c>
      <c r="L105" s="8" t="n">
        <f aca="false">D105*E105</f>
        <v>5096</v>
      </c>
      <c r="M105" s="8" t="n">
        <f aca="false">D105*K105</f>
        <v>5096</v>
      </c>
      <c r="N105" s="8" t="n">
        <f aca="false">D105*H105</f>
        <v>4000</v>
      </c>
      <c r="O105" s="6" t="str">
        <f aca="false">IF(ISNUMBER(SEARCH(C105,F105)),"","YES")</f>
        <v/>
      </c>
      <c r="P105" s="6" t="s">
        <v>30</v>
      </c>
      <c r="Q105" s="7" t="s">
        <v>145</v>
      </c>
      <c r="R105" s="7" t="s">
        <v>230</v>
      </c>
    </row>
    <row r="106" customFormat="false" ht="22.35" hidden="false" customHeight="false" outlineLevel="0" collapsed="false">
      <c r="A106" s="6" t="n">
        <v>105</v>
      </c>
      <c r="B106" s="7" t="s">
        <v>231</v>
      </c>
      <c r="C106" s="6" t="s">
        <v>22</v>
      </c>
      <c r="D106" s="6" t="n">
        <v>12</v>
      </c>
      <c r="E106" s="8" t="n">
        <v>1170</v>
      </c>
      <c r="F106" s="7" t="s">
        <v>232</v>
      </c>
      <c r="G106" s="9" t="n">
        <v>800</v>
      </c>
      <c r="H106" s="9" t="n">
        <v>800</v>
      </c>
      <c r="I106" s="10" t="n">
        <f aca="false">IF(E106=0,0,(E106-H106)/E106)</f>
        <v>0.316239316239316</v>
      </c>
      <c r="J106" s="6" t="str">
        <f aca="false">IF(E106&lt;G106,"LOSS",IF(E106&lt;H106*1.1,"THIN / RISK",IF(E106&gt;H106*1.8,"OVERPRICED?","OK")))</f>
        <v>OK</v>
      </c>
      <c r="K106" s="8" t="n">
        <f aca="false">IF(J106="OVERPRICED?",ROUND(H106*1.35,-1),MAX(E106,ROUND(H106*(1+$E$3),-1)))</f>
        <v>1170</v>
      </c>
      <c r="L106" s="8" t="n">
        <f aca="false">D106*E106</f>
        <v>14040</v>
      </c>
      <c r="M106" s="8" t="n">
        <f aca="false">D106*K106</f>
        <v>14040</v>
      </c>
      <c r="N106" s="8" t="n">
        <f aca="false">D106*H106</f>
        <v>9600</v>
      </c>
      <c r="O106" s="6" t="str">
        <f aca="false">IF(ISNUMBER(SEARCH(C106,F106)),"","YES")</f>
        <v>YES</v>
      </c>
      <c r="P106" s="6" t="s">
        <v>44</v>
      </c>
      <c r="Q106" s="7" t="s">
        <v>233</v>
      </c>
      <c r="R106" s="7"/>
    </row>
    <row r="107" customFormat="false" ht="15" hidden="false" customHeight="false" outlineLevel="0" collapsed="false">
      <c r="A107" s="6" t="n">
        <v>106</v>
      </c>
      <c r="B107" s="7" t="s">
        <v>234</v>
      </c>
      <c r="C107" s="6" t="s">
        <v>28</v>
      </c>
      <c r="D107" s="6" t="n">
        <v>6</v>
      </c>
      <c r="E107" s="8" t="n">
        <v>3640</v>
      </c>
      <c r="F107" s="7" t="s">
        <v>43</v>
      </c>
      <c r="G107" s="9" t="n">
        <v>2420</v>
      </c>
      <c r="H107" s="9" t="n">
        <v>2420</v>
      </c>
      <c r="I107" s="10" t="n">
        <f aca="false">IF(E107=0,0,(E107-H107)/E107)</f>
        <v>0.335164835164835</v>
      </c>
      <c r="J107" s="6" t="str">
        <f aca="false">IF(E107&lt;G107,"LOSS",IF(E107&lt;H107*1.1,"THIN / RISK",IF(E107&gt;H107*1.8,"OVERPRICED?","OK")))</f>
        <v>OK</v>
      </c>
      <c r="K107" s="8" t="n">
        <f aca="false">IF(J107="OVERPRICED?",ROUND(H107*1.35,-1),MAX(E107,ROUND(H107*(1+$E$3),-1)))</f>
        <v>3640</v>
      </c>
      <c r="L107" s="8" t="n">
        <f aca="false">D107*E107</f>
        <v>21840</v>
      </c>
      <c r="M107" s="8" t="n">
        <f aca="false">D107*K107</f>
        <v>21840</v>
      </c>
      <c r="N107" s="8" t="n">
        <f aca="false">D107*H107</f>
        <v>14520</v>
      </c>
      <c r="O107" s="6" t="str">
        <f aca="false">IF(ISNUMBER(SEARCH(C107,F107)),"","YES")</f>
        <v>YES</v>
      </c>
      <c r="P107" s="6" t="s">
        <v>44</v>
      </c>
      <c r="Q107" s="7" t="s">
        <v>235</v>
      </c>
      <c r="R107" s="7"/>
    </row>
    <row r="108" customFormat="false" ht="32.8" hidden="false" customHeight="false" outlineLevel="0" collapsed="false">
      <c r="A108" s="6" t="n">
        <v>107</v>
      </c>
      <c r="B108" s="7" t="s">
        <v>236</v>
      </c>
      <c r="C108" s="6" t="s">
        <v>28</v>
      </c>
      <c r="D108" s="6" t="n">
        <v>6</v>
      </c>
      <c r="E108" s="8" t="n">
        <v>6760</v>
      </c>
      <c r="F108" s="7" t="s">
        <v>122</v>
      </c>
      <c r="G108" s="9" t="n">
        <v>4500</v>
      </c>
      <c r="H108" s="9" t="n">
        <v>6000</v>
      </c>
      <c r="I108" s="10" t="n">
        <f aca="false">IF(E108=0,0,(E108-H108)/E108)</f>
        <v>0.112426035502959</v>
      </c>
      <c r="J108" s="6" t="str">
        <f aca="false">IF(E108&lt;G108,"LOSS",IF(E108&lt;H108*1.1,"THIN / RISK",IF(E108&gt;H108*1.8,"OVERPRICED?","OK")))</f>
        <v>OK</v>
      </c>
      <c r="K108" s="8" t="n">
        <f aca="false">IF(J108="OVERPRICED?",ROUND(H108*1.35,-1),MAX(E108,ROUND(H108*(1+$E$3),-1)))</f>
        <v>6900</v>
      </c>
      <c r="L108" s="8" t="n">
        <f aca="false">D108*E108</f>
        <v>40560</v>
      </c>
      <c r="M108" s="8" t="n">
        <f aca="false">D108*K108</f>
        <v>41400</v>
      </c>
      <c r="N108" s="8" t="n">
        <f aca="false">D108*H108</f>
        <v>36000</v>
      </c>
      <c r="O108" s="6" t="str">
        <f aca="false">IF(ISNUMBER(SEARCH(C108,F108)),"","YES")</f>
        <v>YES</v>
      </c>
      <c r="P108" s="6" t="s">
        <v>30</v>
      </c>
      <c r="Q108" s="7" t="s">
        <v>145</v>
      </c>
      <c r="R108" s="7" t="s">
        <v>237</v>
      </c>
    </row>
    <row r="109" customFormat="false" ht="32.8" hidden="false" customHeight="false" outlineLevel="0" collapsed="false">
      <c r="A109" s="6" t="n">
        <v>108</v>
      </c>
      <c r="B109" s="7" t="s">
        <v>238</v>
      </c>
      <c r="C109" s="6" t="s">
        <v>28</v>
      </c>
      <c r="D109" s="6" t="n">
        <v>3</v>
      </c>
      <c r="E109" s="8" t="n">
        <v>4550</v>
      </c>
      <c r="F109" s="7" t="s">
        <v>43</v>
      </c>
      <c r="G109" s="9" t="n">
        <v>3350</v>
      </c>
      <c r="H109" s="9" t="n">
        <v>3350</v>
      </c>
      <c r="I109" s="10" t="n">
        <f aca="false">IF(E109=0,0,(E109-H109)/E109)</f>
        <v>0.263736263736264</v>
      </c>
      <c r="J109" s="6" t="str">
        <f aca="false">IF(E109&lt;G109,"LOSS",IF(E109&lt;H109*1.1,"THIN / RISK",IF(E109&gt;H109*1.8,"OVERPRICED?","OK")))</f>
        <v>OK</v>
      </c>
      <c r="K109" s="8" t="n">
        <f aca="false">IF(J109="OVERPRICED?",ROUND(H109*1.35,-1),MAX(E109,ROUND(H109*(1+$E$3),-1)))</f>
        <v>4550</v>
      </c>
      <c r="L109" s="8" t="n">
        <f aca="false">D109*E109</f>
        <v>13650</v>
      </c>
      <c r="M109" s="8" t="n">
        <f aca="false">D109*K109</f>
        <v>13650</v>
      </c>
      <c r="N109" s="8" t="n">
        <f aca="false">D109*H109</f>
        <v>10050</v>
      </c>
      <c r="O109" s="6" t="str">
        <f aca="false">IF(ISNUMBER(SEARCH(C109,F109)),"","YES")</f>
        <v>YES</v>
      </c>
      <c r="P109" s="6" t="s">
        <v>44</v>
      </c>
      <c r="Q109" s="7" t="s">
        <v>239</v>
      </c>
      <c r="R109" s="7"/>
    </row>
    <row r="110" customFormat="false" ht="22.35" hidden="false" customHeight="false" outlineLevel="0" collapsed="false">
      <c r="A110" s="6" t="n">
        <v>109</v>
      </c>
      <c r="B110" s="7" t="s">
        <v>240</v>
      </c>
      <c r="C110" s="6" t="s">
        <v>28</v>
      </c>
      <c r="D110" s="6" t="n">
        <v>6</v>
      </c>
      <c r="E110" s="8" t="n">
        <v>2340</v>
      </c>
      <c r="F110" s="7" t="s">
        <v>122</v>
      </c>
      <c r="G110" s="9" t="n">
        <v>1800</v>
      </c>
      <c r="H110" s="9" t="n">
        <v>2500</v>
      </c>
      <c r="I110" s="10" t="n">
        <f aca="false">IF(E110=0,0,(E110-H110)/E110)</f>
        <v>-0.0683760683760684</v>
      </c>
      <c r="J110" s="6" t="str">
        <f aca="false">IF(E110&lt;G110,"LOSS",IF(E110&lt;H110*1.1,"THIN / RISK",IF(E110&gt;H110*1.8,"OVERPRICED?","OK")))</f>
        <v>THIN / RISK</v>
      </c>
      <c r="K110" s="8" t="n">
        <f aca="false">IF(J110="OVERPRICED?",ROUND(H110*1.35,-1),MAX(E110,ROUND(H110*(1+$E$3),-1)))</f>
        <v>2880</v>
      </c>
      <c r="L110" s="8" t="n">
        <f aca="false">D110*E110</f>
        <v>14040</v>
      </c>
      <c r="M110" s="8" t="n">
        <f aca="false">D110*K110</f>
        <v>17280</v>
      </c>
      <c r="N110" s="8" t="n">
        <f aca="false">D110*H110</f>
        <v>15000</v>
      </c>
      <c r="O110" s="6" t="str">
        <f aca="false">IF(ISNUMBER(SEARCH(C110,F110)),"","YES")</f>
        <v>YES</v>
      </c>
      <c r="P110" s="6" t="s">
        <v>30</v>
      </c>
      <c r="Q110" s="7" t="s">
        <v>145</v>
      </c>
      <c r="R110" s="7" t="s">
        <v>241</v>
      </c>
    </row>
    <row r="111" customFormat="false" ht="22.35" hidden="false" customHeight="false" outlineLevel="0" collapsed="false">
      <c r="A111" s="6" t="n">
        <v>110</v>
      </c>
      <c r="B111" s="7" t="s">
        <v>242</v>
      </c>
      <c r="C111" s="6" t="s">
        <v>28</v>
      </c>
      <c r="D111" s="6" t="n">
        <v>3</v>
      </c>
      <c r="E111" s="8" t="n">
        <v>1820</v>
      </c>
      <c r="F111" s="7" t="s">
        <v>157</v>
      </c>
      <c r="G111" s="9" t="n">
        <v>860</v>
      </c>
      <c r="H111" s="9" t="n">
        <v>860</v>
      </c>
      <c r="I111" s="10" t="n">
        <f aca="false">IF(E111=0,0,(E111-H111)/E111)</f>
        <v>0.527472527472528</v>
      </c>
      <c r="J111" s="6" t="str">
        <f aca="false">IF(E111&lt;G111,"LOSS",IF(E111&lt;H111*1.1,"THIN / RISK",IF(E111&gt;H111*1.8,"OVERPRICED?","OK")))</f>
        <v>OVERPRICED?</v>
      </c>
      <c r="K111" s="8" t="n">
        <f aca="false">IF(J111="OVERPRICED?",ROUND(H111*1.35,-1),MAX(E111,ROUND(H111*(1+$E$3),-1)))</f>
        <v>1160</v>
      </c>
      <c r="L111" s="8" t="n">
        <f aca="false">D111*E111</f>
        <v>5460</v>
      </c>
      <c r="M111" s="8" t="n">
        <f aca="false">D111*K111</f>
        <v>3480</v>
      </c>
      <c r="N111" s="8" t="n">
        <f aca="false">D111*H111</f>
        <v>2580</v>
      </c>
      <c r="O111" s="6" t="str">
        <f aca="false">IF(ISNUMBER(SEARCH(C111,F111)),"","YES")</f>
        <v>YES</v>
      </c>
      <c r="P111" s="6" t="s">
        <v>24</v>
      </c>
      <c r="Q111" s="7" t="s">
        <v>243</v>
      </c>
      <c r="R111" s="7" t="s">
        <v>26</v>
      </c>
    </row>
    <row r="112" customFormat="false" ht="22.35" hidden="false" customHeight="false" outlineLevel="0" collapsed="false">
      <c r="A112" s="6" t="n">
        <v>111</v>
      </c>
      <c r="B112" s="7" t="s">
        <v>244</v>
      </c>
      <c r="C112" s="6" t="s">
        <v>28</v>
      </c>
      <c r="D112" s="6" t="n">
        <v>3</v>
      </c>
      <c r="E112" s="8" t="n">
        <v>2860</v>
      </c>
      <c r="F112" s="7" t="s">
        <v>54</v>
      </c>
      <c r="G112" s="9" t="n">
        <v>3125</v>
      </c>
      <c r="H112" s="9" t="n">
        <v>3125</v>
      </c>
      <c r="I112" s="10" t="n">
        <f aca="false">IF(E112=0,0,(E112-H112)/E112)</f>
        <v>-0.0926573426573427</v>
      </c>
      <c r="J112" s="6" t="str">
        <f aca="false">IF(E112&lt;G112,"LOSS",IF(E112&lt;H112*1.1,"THIN / RISK",IF(E112&gt;H112*1.8,"OVERPRICED?","OK")))</f>
        <v>LOSS</v>
      </c>
      <c r="K112" s="8" t="n">
        <f aca="false">IF(J112="OVERPRICED?",ROUND(H112*1.35,-1),MAX(E112,ROUND(H112*(1+$E$3),-1)))</f>
        <v>3590</v>
      </c>
      <c r="L112" s="8" t="n">
        <f aca="false">D112*E112</f>
        <v>8580</v>
      </c>
      <c r="M112" s="8" t="n">
        <f aca="false">D112*K112</f>
        <v>10770</v>
      </c>
      <c r="N112" s="8" t="n">
        <f aca="false">D112*H112</f>
        <v>9375</v>
      </c>
      <c r="O112" s="6" t="str">
        <f aca="false">IF(ISNUMBER(SEARCH(C112,F112)),"","YES")</f>
        <v>YES</v>
      </c>
      <c r="P112" s="6" t="s">
        <v>24</v>
      </c>
      <c r="Q112" s="7" t="s">
        <v>245</v>
      </c>
      <c r="R112" s="7" t="s">
        <v>26</v>
      </c>
    </row>
    <row r="113" customFormat="false" ht="22.35" hidden="false" customHeight="false" outlineLevel="0" collapsed="false">
      <c r="A113" s="6" t="n">
        <v>112</v>
      </c>
      <c r="B113" s="7" t="s">
        <v>246</v>
      </c>
      <c r="C113" s="6" t="s">
        <v>28</v>
      </c>
      <c r="D113" s="6" t="n">
        <v>2</v>
      </c>
      <c r="E113" s="8" t="n">
        <v>12350</v>
      </c>
      <c r="F113" s="7" t="s">
        <v>22</v>
      </c>
      <c r="G113" s="9" t="n">
        <v>8500</v>
      </c>
      <c r="H113" s="9" t="n">
        <v>8500</v>
      </c>
      <c r="I113" s="10" t="n">
        <f aca="false">IF(E113=0,0,(E113-H113)/E113)</f>
        <v>0.311740890688259</v>
      </c>
      <c r="J113" s="6" t="str">
        <f aca="false">IF(E113&lt;G113,"LOSS",IF(E113&lt;H113*1.1,"THIN / RISK",IF(E113&gt;H113*1.8,"OVERPRICED?","OK")))</f>
        <v>OK</v>
      </c>
      <c r="K113" s="8" t="n">
        <f aca="false">IF(J113="OVERPRICED?",ROUND(H113*1.35,-1),MAX(E113,ROUND(H113*(1+$E$3),-1)))</f>
        <v>12350</v>
      </c>
      <c r="L113" s="8" t="n">
        <f aca="false">D113*E113</f>
        <v>24700</v>
      </c>
      <c r="M113" s="8" t="n">
        <f aca="false">D113*K113</f>
        <v>24700</v>
      </c>
      <c r="N113" s="8" t="n">
        <f aca="false">D113*H113</f>
        <v>17000</v>
      </c>
      <c r="O113" s="6" t="str">
        <f aca="false">IF(ISNUMBER(SEARCH(C113,F113)),"","YES")</f>
        <v>YES</v>
      </c>
      <c r="P113" s="6" t="s">
        <v>44</v>
      </c>
      <c r="Q113" s="7" t="s">
        <v>247</v>
      </c>
      <c r="R113" s="7"/>
    </row>
    <row r="114" customFormat="false" ht="15" hidden="false" customHeight="false" outlineLevel="0" collapsed="false">
      <c r="A114" s="6" t="n">
        <v>113</v>
      </c>
      <c r="B114" s="7" t="s">
        <v>248</v>
      </c>
      <c r="C114" s="6" t="s">
        <v>28</v>
      </c>
      <c r="D114" s="6" t="n">
        <v>3</v>
      </c>
      <c r="E114" s="8" t="n">
        <v>1560</v>
      </c>
      <c r="F114" s="7" t="s">
        <v>22</v>
      </c>
      <c r="G114" s="9" t="n">
        <v>1600</v>
      </c>
      <c r="H114" s="9" t="n">
        <v>1600</v>
      </c>
      <c r="I114" s="10" t="n">
        <f aca="false">IF(E114=0,0,(E114-H114)/E114)</f>
        <v>-0.0256410256410256</v>
      </c>
      <c r="J114" s="6" t="str">
        <f aca="false">IF(E114&lt;G114,"LOSS",IF(E114&lt;H114*1.1,"THIN / RISK",IF(E114&gt;H114*1.8,"OVERPRICED?","OK")))</f>
        <v>LOSS</v>
      </c>
      <c r="K114" s="8" t="n">
        <f aca="false">IF(J114="OVERPRICED?",ROUND(H114*1.35,-1),MAX(E114,ROUND(H114*(1+$E$3),-1)))</f>
        <v>1840</v>
      </c>
      <c r="L114" s="8" t="n">
        <f aca="false">D114*E114</f>
        <v>4680</v>
      </c>
      <c r="M114" s="8" t="n">
        <f aca="false">D114*K114</f>
        <v>5520</v>
      </c>
      <c r="N114" s="8" t="n">
        <f aca="false">D114*H114</f>
        <v>4800</v>
      </c>
      <c r="O114" s="6" t="str">
        <f aca="false">IF(ISNUMBER(SEARCH(C114,F114)),"","YES")</f>
        <v>YES</v>
      </c>
      <c r="P114" s="6" t="s">
        <v>44</v>
      </c>
      <c r="Q114" s="7" t="s">
        <v>249</v>
      </c>
      <c r="R114" s="7"/>
    </row>
    <row r="115" customFormat="false" ht="15" hidden="false" customHeight="false" outlineLevel="0" collapsed="false">
      <c r="A115" s="6" t="n">
        <v>114</v>
      </c>
      <c r="B115" s="7" t="s">
        <v>250</v>
      </c>
      <c r="C115" s="6" t="s">
        <v>28</v>
      </c>
      <c r="D115" s="6" t="n">
        <v>3</v>
      </c>
      <c r="E115" s="8" t="n">
        <v>1950</v>
      </c>
      <c r="F115" s="7" t="s">
        <v>22</v>
      </c>
      <c r="G115" s="9" t="n">
        <v>1600</v>
      </c>
      <c r="H115" s="9" t="n">
        <v>1600</v>
      </c>
      <c r="I115" s="10" t="n">
        <f aca="false">IF(E115=0,0,(E115-H115)/E115)</f>
        <v>0.17948717948718</v>
      </c>
      <c r="J115" s="6" t="str">
        <f aca="false">IF(E115&lt;G115,"LOSS",IF(E115&lt;H115*1.1,"THIN / RISK",IF(E115&gt;H115*1.8,"OVERPRICED?","OK")))</f>
        <v>OK</v>
      </c>
      <c r="K115" s="8" t="n">
        <f aca="false">IF(J115="OVERPRICED?",ROUND(H115*1.35,-1),MAX(E115,ROUND(H115*(1+$E$3),-1)))</f>
        <v>1950</v>
      </c>
      <c r="L115" s="8" t="n">
        <f aca="false">D115*E115</f>
        <v>5850</v>
      </c>
      <c r="M115" s="8" t="n">
        <f aca="false">D115*K115</f>
        <v>5850</v>
      </c>
      <c r="N115" s="8" t="n">
        <f aca="false">D115*H115</f>
        <v>4800</v>
      </c>
      <c r="O115" s="6" t="str">
        <f aca="false">IF(ISNUMBER(SEARCH(C115,F115)),"","YES")</f>
        <v>YES</v>
      </c>
      <c r="P115" s="6" t="s">
        <v>44</v>
      </c>
      <c r="Q115" s="7" t="s">
        <v>249</v>
      </c>
      <c r="R115" s="7"/>
    </row>
    <row r="116" customFormat="false" ht="22.35" hidden="false" customHeight="false" outlineLevel="0" collapsed="false">
      <c r="A116" s="6" t="n">
        <v>115</v>
      </c>
      <c r="B116" s="7" t="s">
        <v>251</v>
      </c>
      <c r="C116" s="6" t="s">
        <v>22</v>
      </c>
      <c r="D116" s="6" t="n">
        <v>2</v>
      </c>
      <c r="E116" s="8" t="n">
        <v>11050</v>
      </c>
      <c r="F116" s="7" t="s">
        <v>252</v>
      </c>
      <c r="G116" s="9" t="n">
        <v>5000</v>
      </c>
      <c r="H116" s="9" t="n">
        <v>5000</v>
      </c>
      <c r="I116" s="10" t="n">
        <f aca="false">IF(E116=0,0,(E116-H116)/E116)</f>
        <v>0.547511312217195</v>
      </c>
      <c r="J116" s="6" t="str">
        <f aca="false">IF(E116&lt;G116,"LOSS",IF(E116&lt;H116*1.1,"THIN / RISK",IF(E116&gt;H116*1.8,"OVERPRICED?","OK")))</f>
        <v>OVERPRICED?</v>
      </c>
      <c r="K116" s="8" t="n">
        <f aca="false">IF(J116="OVERPRICED?",ROUND(H116*1.35,-1),MAX(E116,ROUND(H116*(1+$E$3),-1)))</f>
        <v>6750</v>
      </c>
      <c r="L116" s="8" t="n">
        <f aca="false">D116*E116</f>
        <v>22100</v>
      </c>
      <c r="M116" s="8" t="n">
        <f aca="false">D116*K116</f>
        <v>13500</v>
      </c>
      <c r="N116" s="8" t="n">
        <f aca="false">D116*H116</f>
        <v>10000</v>
      </c>
      <c r="O116" s="6" t="str">
        <f aca="false">IF(ISNUMBER(SEARCH(C116,F116)),"","YES")</f>
        <v>YES</v>
      </c>
      <c r="P116" s="6" t="s">
        <v>44</v>
      </c>
      <c r="Q116" s="7" t="s">
        <v>253</v>
      </c>
      <c r="R116" s="7"/>
    </row>
    <row r="117" customFormat="false" ht="22.35" hidden="false" customHeight="false" outlineLevel="0" collapsed="false">
      <c r="A117" s="6" t="n">
        <v>116</v>
      </c>
      <c r="B117" s="7" t="s">
        <v>254</v>
      </c>
      <c r="C117" s="6" t="s">
        <v>28</v>
      </c>
      <c r="D117" s="6" t="n">
        <v>2</v>
      </c>
      <c r="E117" s="8" t="n">
        <v>11050</v>
      </c>
      <c r="F117" s="7" t="s">
        <v>22</v>
      </c>
      <c r="G117" s="9" t="n">
        <v>6500</v>
      </c>
      <c r="H117" s="9" t="n">
        <v>9000</v>
      </c>
      <c r="I117" s="10" t="n">
        <f aca="false">IF(E117=0,0,(E117-H117)/E117)</f>
        <v>0.18552036199095</v>
      </c>
      <c r="J117" s="6" t="str">
        <f aca="false">IF(E117&lt;G117,"LOSS",IF(E117&lt;H117*1.1,"THIN / RISK",IF(E117&gt;H117*1.8,"OVERPRICED?","OK")))</f>
        <v>OK</v>
      </c>
      <c r="K117" s="8" t="n">
        <f aca="false">IF(J117="OVERPRICED?",ROUND(H117*1.35,-1),MAX(E117,ROUND(H117*(1+$E$3),-1)))</f>
        <v>11050</v>
      </c>
      <c r="L117" s="8" t="n">
        <f aca="false">D117*E117</f>
        <v>22100</v>
      </c>
      <c r="M117" s="8" t="n">
        <f aca="false">D117*K117</f>
        <v>22100</v>
      </c>
      <c r="N117" s="8" t="n">
        <f aca="false">D117*H117</f>
        <v>18000</v>
      </c>
      <c r="O117" s="6" t="str">
        <f aca="false">IF(ISNUMBER(SEARCH(C117,F117)),"","YES")</f>
        <v>YES</v>
      </c>
      <c r="P117" s="6" t="s">
        <v>30</v>
      </c>
      <c r="Q117" s="7" t="s">
        <v>145</v>
      </c>
      <c r="R117" s="7" t="s">
        <v>255</v>
      </c>
    </row>
    <row r="118" customFormat="false" ht="15" hidden="false" customHeight="false" outlineLevel="0" collapsed="false">
      <c r="A118" s="6" t="n">
        <v>117</v>
      </c>
      <c r="B118" s="7" t="s">
        <v>256</v>
      </c>
      <c r="C118" s="6" t="s">
        <v>22</v>
      </c>
      <c r="D118" s="6" t="n">
        <v>15</v>
      </c>
      <c r="E118" s="8" t="n">
        <v>585</v>
      </c>
      <c r="F118" s="7" t="s">
        <v>22</v>
      </c>
      <c r="G118" s="9" t="n">
        <v>300</v>
      </c>
      <c r="H118" s="9" t="n">
        <v>450</v>
      </c>
      <c r="I118" s="10" t="n">
        <f aca="false">IF(E118=0,0,(E118-H118)/E118)</f>
        <v>0.230769230769231</v>
      </c>
      <c r="J118" s="6" t="str">
        <f aca="false">IF(E118&lt;G118,"LOSS",IF(E118&lt;H118*1.1,"THIN / RISK",IF(E118&gt;H118*1.8,"OVERPRICED?","OK")))</f>
        <v>OK</v>
      </c>
      <c r="K118" s="8" t="n">
        <f aca="false">IF(J118="OVERPRICED?",ROUND(H118*1.35,-1),MAX(E118,ROUND(H118*(1+$E$3),-1)))</f>
        <v>585</v>
      </c>
      <c r="L118" s="8" t="n">
        <f aca="false">D118*E118</f>
        <v>8775</v>
      </c>
      <c r="M118" s="8" t="n">
        <f aca="false">D118*K118</f>
        <v>8775</v>
      </c>
      <c r="N118" s="8" t="n">
        <f aca="false">D118*H118</f>
        <v>6750</v>
      </c>
      <c r="O118" s="6" t="str">
        <f aca="false">IF(ISNUMBER(SEARCH(C118,F118)),"","YES")</f>
        <v/>
      </c>
      <c r="P118" s="6" t="s">
        <v>30</v>
      </c>
      <c r="Q118" s="7" t="s">
        <v>257</v>
      </c>
      <c r="R118" s="7" t="s">
        <v>32</v>
      </c>
    </row>
    <row r="119" customFormat="false" ht="15" hidden="false" customHeight="false" outlineLevel="0" collapsed="false">
      <c r="A119" s="6" t="n">
        <v>118</v>
      </c>
      <c r="B119" s="7" t="s">
        <v>258</v>
      </c>
      <c r="C119" s="6" t="s">
        <v>22</v>
      </c>
      <c r="D119" s="6" t="n">
        <v>15</v>
      </c>
      <c r="E119" s="8" t="n">
        <v>585</v>
      </c>
      <c r="F119" s="7" t="s">
        <v>22</v>
      </c>
      <c r="G119" s="9" t="n">
        <v>300</v>
      </c>
      <c r="H119" s="9" t="n">
        <v>450</v>
      </c>
      <c r="I119" s="10" t="n">
        <f aca="false">IF(E119=0,0,(E119-H119)/E119)</f>
        <v>0.230769230769231</v>
      </c>
      <c r="J119" s="6" t="str">
        <f aca="false">IF(E119&lt;G119,"LOSS",IF(E119&lt;H119*1.1,"THIN / RISK",IF(E119&gt;H119*1.8,"OVERPRICED?","OK")))</f>
        <v>OK</v>
      </c>
      <c r="K119" s="8" t="n">
        <f aca="false">IF(J119="OVERPRICED?",ROUND(H119*1.35,-1),MAX(E119,ROUND(H119*(1+$E$3),-1)))</f>
        <v>585</v>
      </c>
      <c r="L119" s="8" t="n">
        <f aca="false">D119*E119</f>
        <v>8775</v>
      </c>
      <c r="M119" s="8" t="n">
        <f aca="false">D119*K119</f>
        <v>8775</v>
      </c>
      <c r="N119" s="8" t="n">
        <f aca="false">D119*H119</f>
        <v>6750</v>
      </c>
      <c r="O119" s="6" t="str">
        <f aca="false">IF(ISNUMBER(SEARCH(C119,F119)),"","YES")</f>
        <v/>
      </c>
      <c r="P119" s="6" t="s">
        <v>30</v>
      </c>
      <c r="Q119" s="7" t="s">
        <v>257</v>
      </c>
      <c r="R119" s="7" t="s">
        <v>32</v>
      </c>
    </row>
    <row r="120" customFormat="false" ht="15" hidden="false" customHeight="false" outlineLevel="0" collapsed="false">
      <c r="A120" s="6" t="n">
        <v>119</v>
      </c>
      <c r="B120" s="7" t="s">
        <v>259</v>
      </c>
      <c r="C120" s="6" t="s">
        <v>28</v>
      </c>
      <c r="D120" s="6" t="n">
        <v>2</v>
      </c>
      <c r="E120" s="8" t="n">
        <v>910</v>
      </c>
      <c r="F120" s="7" t="s">
        <v>22</v>
      </c>
      <c r="G120" s="9" t="n">
        <v>400</v>
      </c>
      <c r="H120" s="9" t="n">
        <v>700</v>
      </c>
      <c r="I120" s="10" t="n">
        <f aca="false">IF(E120=0,0,(E120-H120)/E120)</f>
        <v>0.230769230769231</v>
      </c>
      <c r="J120" s="6" t="str">
        <f aca="false">IF(E120&lt;G120,"LOSS",IF(E120&lt;H120*1.1,"THIN / RISK",IF(E120&gt;H120*1.8,"OVERPRICED?","OK")))</f>
        <v>OK</v>
      </c>
      <c r="K120" s="8" t="n">
        <f aca="false">IF(J120="OVERPRICED?",ROUND(H120*1.35,-1),MAX(E120,ROUND(H120*(1+$E$3),-1)))</f>
        <v>910</v>
      </c>
      <c r="L120" s="8" t="n">
        <f aca="false">D120*E120</f>
        <v>1820</v>
      </c>
      <c r="M120" s="8" t="n">
        <f aca="false">D120*K120</f>
        <v>1820</v>
      </c>
      <c r="N120" s="8" t="n">
        <f aca="false">D120*H120</f>
        <v>1400</v>
      </c>
      <c r="O120" s="6" t="str">
        <f aca="false">IF(ISNUMBER(SEARCH(C120,F120)),"","YES")</f>
        <v>YES</v>
      </c>
      <c r="P120" s="6" t="s">
        <v>30</v>
      </c>
      <c r="Q120" s="7" t="s">
        <v>145</v>
      </c>
      <c r="R120" s="7" t="s">
        <v>32</v>
      </c>
    </row>
    <row r="121" customFormat="false" ht="15" hidden="false" customHeight="false" outlineLevel="0" collapsed="false">
      <c r="A121" s="6" t="n">
        <v>120</v>
      </c>
      <c r="B121" s="7" t="s">
        <v>260</v>
      </c>
      <c r="C121" s="6" t="s">
        <v>22</v>
      </c>
      <c r="D121" s="6" t="n">
        <v>6</v>
      </c>
      <c r="E121" s="8" t="n">
        <v>910</v>
      </c>
      <c r="F121" s="7" t="s">
        <v>22</v>
      </c>
      <c r="G121" s="9" t="n">
        <v>400</v>
      </c>
      <c r="H121" s="9" t="n">
        <v>650</v>
      </c>
      <c r="I121" s="10" t="n">
        <f aca="false">IF(E121=0,0,(E121-H121)/E121)</f>
        <v>0.285714285714286</v>
      </c>
      <c r="J121" s="6" t="str">
        <f aca="false">IF(E121&lt;G121,"LOSS",IF(E121&lt;H121*1.1,"THIN / RISK",IF(E121&gt;H121*1.8,"OVERPRICED?","OK")))</f>
        <v>OK</v>
      </c>
      <c r="K121" s="8" t="n">
        <f aca="false">IF(J121="OVERPRICED?",ROUND(H121*1.35,-1),MAX(E121,ROUND(H121*(1+$E$3),-1)))</f>
        <v>910</v>
      </c>
      <c r="L121" s="8" t="n">
        <f aca="false">D121*E121</f>
        <v>5460</v>
      </c>
      <c r="M121" s="8" t="n">
        <f aca="false">D121*K121</f>
        <v>5460</v>
      </c>
      <c r="N121" s="8" t="n">
        <f aca="false">D121*H121</f>
        <v>3900</v>
      </c>
      <c r="O121" s="6" t="str">
        <f aca="false">IF(ISNUMBER(SEARCH(C121,F121)),"","YES")</f>
        <v/>
      </c>
      <c r="P121" s="6" t="s">
        <v>30</v>
      </c>
      <c r="Q121" s="7" t="s">
        <v>145</v>
      </c>
      <c r="R121" s="7" t="s">
        <v>32</v>
      </c>
    </row>
    <row r="122" customFormat="false" ht="22.35" hidden="false" customHeight="false" outlineLevel="0" collapsed="false">
      <c r="A122" s="6" t="n">
        <v>121</v>
      </c>
      <c r="B122" s="7" t="s">
        <v>261</v>
      </c>
      <c r="C122" s="6" t="s">
        <v>22</v>
      </c>
      <c r="D122" s="6" t="n">
        <v>6</v>
      </c>
      <c r="E122" s="8" t="n">
        <v>637</v>
      </c>
      <c r="F122" s="7" t="s">
        <v>43</v>
      </c>
      <c r="G122" s="9" t="n">
        <v>600</v>
      </c>
      <c r="H122" s="9" t="n">
        <v>600</v>
      </c>
      <c r="I122" s="10" t="n">
        <f aca="false">IF(E122=0,0,(E122-H122)/E122)</f>
        <v>0.0580847723704867</v>
      </c>
      <c r="J122" s="6" t="str">
        <f aca="false">IF(E122&lt;G122,"LOSS",IF(E122&lt;H122*1.1,"THIN / RISK",IF(E122&gt;H122*1.8,"OVERPRICED?","OK")))</f>
        <v>THIN / RISK</v>
      </c>
      <c r="K122" s="8" t="n">
        <f aca="false">IF(J122="OVERPRICED?",ROUND(H122*1.35,-1),MAX(E122,ROUND(H122*(1+$E$3),-1)))</f>
        <v>690</v>
      </c>
      <c r="L122" s="8" t="n">
        <f aca="false">D122*E122</f>
        <v>3822</v>
      </c>
      <c r="M122" s="8" t="n">
        <f aca="false">D122*K122</f>
        <v>4140</v>
      </c>
      <c r="N122" s="8" t="n">
        <f aca="false">D122*H122</f>
        <v>3600</v>
      </c>
      <c r="O122" s="6" t="str">
        <f aca="false">IF(ISNUMBER(SEARCH(C122,F122)),"","YES")</f>
        <v>YES</v>
      </c>
      <c r="P122" s="6" t="s">
        <v>44</v>
      </c>
      <c r="Q122" s="7" t="s">
        <v>262</v>
      </c>
      <c r="R122" s="7"/>
    </row>
    <row r="123" customFormat="false" ht="32.8" hidden="false" customHeight="false" outlineLevel="0" collapsed="false">
      <c r="A123" s="6" t="n">
        <v>122</v>
      </c>
      <c r="B123" s="7" t="s">
        <v>263</v>
      </c>
      <c r="C123" s="6" t="s">
        <v>22</v>
      </c>
      <c r="D123" s="6" t="n">
        <v>1</v>
      </c>
      <c r="E123" s="8" t="n">
        <v>357500</v>
      </c>
      <c r="F123" s="7" t="s">
        <v>264</v>
      </c>
      <c r="G123" s="9" t="n">
        <v>126000</v>
      </c>
      <c r="H123" s="9" t="n">
        <v>126000</v>
      </c>
      <c r="I123" s="10" t="n">
        <f aca="false">IF(E123=0,0,(E123-H123)/E123)</f>
        <v>0.647552447552448</v>
      </c>
      <c r="J123" s="6" t="str">
        <f aca="false">IF(E123&lt;G123,"LOSS",IF(E123&lt;H123*1.1,"THIN / RISK",IF(E123&gt;H123*1.8,"OVERPRICED?","OK")))</f>
        <v>OVERPRICED?</v>
      </c>
      <c r="K123" s="8" t="n">
        <f aca="false">IF(J123="OVERPRICED?",ROUND(H123*1.35,-1),MAX(E123,ROUND(H123*(1+$E$3),-1)))</f>
        <v>170100</v>
      </c>
      <c r="L123" s="8" t="n">
        <f aca="false">D123*E123</f>
        <v>357500</v>
      </c>
      <c r="M123" s="8" t="n">
        <f aca="false">D123*K123</f>
        <v>170100</v>
      </c>
      <c r="N123" s="8" t="n">
        <f aca="false">D123*H123</f>
        <v>126000</v>
      </c>
      <c r="O123" s="6" t="str">
        <f aca="false">IF(ISNUMBER(SEARCH(C123,F123)),"","YES")</f>
        <v>YES</v>
      </c>
      <c r="P123" s="6" t="s">
        <v>24</v>
      </c>
      <c r="Q123" s="7" t="s">
        <v>265</v>
      </c>
      <c r="R123" s="7" t="s">
        <v>26</v>
      </c>
    </row>
    <row r="124" customFormat="false" ht="22.35" hidden="false" customHeight="false" outlineLevel="0" collapsed="false">
      <c r="A124" s="6" t="n">
        <v>123</v>
      </c>
      <c r="B124" s="7" t="s">
        <v>266</v>
      </c>
      <c r="C124" s="6" t="s">
        <v>22</v>
      </c>
      <c r="D124" s="6" t="n">
        <v>2</v>
      </c>
      <c r="E124" s="8" t="n">
        <v>23400</v>
      </c>
      <c r="F124" s="7" t="s">
        <v>22</v>
      </c>
      <c r="G124" s="9" t="n">
        <v>14000</v>
      </c>
      <c r="H124" s="9" t="n">
        <v>20000</v>
      </c>
      <c r="I124" s="10" t="n">
        <f aca="false">IF(E124=0,0,(E124-H124)/E124)</f>
        <v>0.145299145299145</v>
      </c>
      <c r="J124" s="6" t="str">
        <f aca="false">IF(E124&lt;G124,"LOSS",IF(E124&lt;H124*1.1,"THIN / RISK",IF(E124&gt;H124*1.8,"OVERPRICED?","OK")))</f>
        <v>OK</v>
      </c>
      <c r="K124" s="8" t="n">
        <f aca="false">IF(J124="OVERPRICED?",ROUND(H124*1.35,-1),MAX(E124,ROUND(H124*(1+$E$3),-1)))</f>
        <v>23400</v>
      </c>
      <c r="L124" s="8" t="n">
        <f aca="false">D124*E124</f>
        <v>46800</v>
      </c>
      <c r="M124" s="8" t="n">
        <f aca="false">D124*K124</f>
        <v>46800</v>
      </c>
      <c r="N124" s="8" t="n">
        <f aca="false">D124*H124</f>
        <v>40000</v>
      </c>
      <c r="O124" s="6" t="str">
        <f aca="false">IF(ISNUMBER(SEARCH(C124,F124)),"","YES")</f>
        <v/>
      </c>
      <c r="P124" s="6" t="s">
        <v>30</v>
      </c>
      <c r="Q124" s="7" t="s">
        <v>145</v>
      </c>
      <c r="R124" s="7" t="s">
        <v>267</v>
      </c>
    </row>
    <row r="125" customFormat="false" ht="15" hidden="false" customHeight="false" outlineLevel="0" collapsed="false">
      <c r="A125" s="6" t="n">
        <v>124</v>
      </c>
      <c r="B125" s="7" t="s">
        <v>268</v>
      </c>
      <c r="C125" s="6" t="s">
        <v>22</v>
      </c>
      <c r="D125" s="6" t="n">
        <v>2</v>
      </c>
      <c r="E125" s="8" t="n">
        <v>4550</v>
      </c>
      <c r="F125" s="7" t="s">
        <v>22</v>
      </c>
      <c r="G125" s="9" t="n">
        <v>2500</v>
      </c>
      <c r="H125" s="9" t="n">
        <v>3500</v>
      </c>
      <c r="I125" s="10" t="n">
        <f aca="false">IF(E125=0,0,(E125-H125)/E125)</f>
        <v>0.230769230769231</v>
      </c>
      <c r="J125" s="6" t="str">
        <f aca="false">IF(E125&lt;G125,"LOSS",IF(E125&lt;H125*1.1,"THIN / RISK",IF(E125&gt;H125*1.8,"OVERPRICED?","OK")))</f>
        <v>OK</v>
      </c>
      <c r="K125" s="8" t="n">
        <f aca="false">IF(J125="OVERPRICED?",ROUND(H125*1.35,-1),MAX(E125,ROUND(H125*(1+$E$3),-1)))</f>
        <v>4550</v>
      </c>
      <c r="L125" s="8" t="n">
        <f aca="false">D125*E125</f>
        <v>9100</v>
      </c>
      <c r="M125" s="8" t="n">
        <f aca="false">D125*K125</f>
        <v>9100</v>
      </c>
      <c r="N125" s="8" t="n">
        <f aca="false">D125*H125</f>
        <v>7000</v>
      </c>
      <c r="O125" s="6" t="str">
        <f aca="false">IF(ISNUMBER(SEARCH(C125,F125)),"","YES")</f>
        <v/>
      </c>
      <c r="P125" s="6" t="s">
        <v>30</v>
      </c>
      <c r="Q125" s="7" t="s">
        <v>145</v>
      </c>
      <c r="R125" s="7" t="s">
        <v>32</v>
      </c>
    </row>
    <row r="126" customFormat="false" ht="15" hidden="false" customHeight="false" outlineLevel="0" collapsed="false">
      <c r="A126" s="6" t="n">
        <v>125</v>
      </c>
      <c r="B126" s="7" t="s">
        <v>269</v>
      </c>
      <c r="C126" s="6" t="s">
        <v>22</v>
      </c>
      <c r="D126" s="6" t="n">
        <v>12</v>
      </c>
      <c r="E126" s="8" t="n">
        <v>585</v>
      </c>
      <c r="F126" s="7" t="s">
        <v>22</v>
      </c>
      <c r="G126" s="9" t="n">
        <v>250</v>
      </c>
      <c r="H126" s="9" t="n">
        <v>400</v>
      </c>
      <c r="I126" s="10" t="n">
        <f aca="false">IF(E126=0,0,(E126-H126)/E126)</f>
        <v>0.316239316239316</v>
      </c>
      <c r="J126" s="6" t="str">
        <f aca="false">IF(E126&lt;G126,"LOSS",IF(E126&lt;H126*1.1,"THIN / RISK",IF(E126&gt;H126*1.8,"OVERPRICED?","OK")))</f>
        <v>OK</v>
      </c>
      <c r="K126" s="8" t="n">
        <f aca="false">IF(J126="OVERPRICED?",ROUND(H126*1.35,-1),MAX(E126,ROUND(H126*(1+$E$3),-1)))</f>
        <v>585</v>
      </c>
      <c r="L126" s="8" t="n">
        <f aca="false">D126*E126</f>
        <v>7020</v>
      </c>
      <c r="M126" s="8" t="n">
        <f aca="false">D126*K126</f>
        <v>7020</v>
      </c>
      <c r="N126" s="8" t="n">
        <f aca="false">D126*H126</f>
        <v>4800</v>
      </c>
      <c r="O126" s="6" t="str">
        <f aca="false">IF(ISNUMBER(SEARCH(C126,F126)),"","YES")</f>
        <v/>
      </c>
      <c r="P126" s="6" t="s">
        <v>30</v>
      </c>
      <c r="Q126" s="7" t="s">
        <v>145</v>
      </c>
      <c r="R126" s="7" t="s">
        <v>32</v>
      </c>
    </row>
    <row r="127" customFormat="false" ht="15" hidden="false" customHeight="false" outlineLevel="0" collapsed="false">
      <c r="A127" s="6" t="n">
        <v>126</v>
      </c>
      <c r="B127" s="7" t="s">
        <v>270</v>
      </c>
      <c r="C127" s="6" t="s">
        <v>22</v>
      </c>
      <c r="D127" s="6" t="n">
        <v>12</v>
      </c>
      <c r="E127" s="8" t="n">
        <v>780</v>
      </c>
      <c r="F127" s="7" t="s">
        <v>22</v>
      </c>
      <c r="G127" s="9" t="n">
        <v>300</v>
      </c>
      <c r="H127" s="9" t="n">
        <v>500</v>
      </c>
      <c r="I127" s="10" t="n">
        <f aca="false">IF(E127=0,0,(E127-H127)/E127)</f>
        <v>0.358974358974359</v>
      </c>
      <c r="J127" s="6" t="str">
        <f aca="false">IF(E127&lt;G127,"LOSS",IF(E127&lt;H127*1.1,"THIN / RISK",IF(E127&gt;H127*1.8,"OVERPRICED?","OK")))</f>
        <v>OK</v>
      </c>
      <c r="K127" s="8" t="n">
        <f aca="false">IF(J127="OVERPRICED?",ROUND(H127*1.35,-1),MAX(E127,ROUND(H127*(1+$E$3),-1)))</f>
        <v>780</v>
      </c>
      <c r="L127" s="8" t="n">
        <f aca="false">D127*E127</f>
        <v>9360</v>
      </c>
      <c r="M127" s="8" t="n">
        <f aca="false">D127*K127</f>
        <v>9360</v>
      </c>
      <c r="N127" s="8" t="n">
        <f aca="false">D127*H127</f>
        <v>6000</v>
      </c>
      <c r="O127" s="6" t="str">
        <f aca="false">IF(ISNUMBER(SEARCH(C127,F127)),"","YES")</f>
        <v/>
      </c>
      <c r="P127" s="6" t="s">
        <v>30</v>
      </c>
      <c r="Q127" s="7" t="s">
        <v>145</v>
      </c>
      <c r="R127" s="7" t="s">
        <v>32</v>
      </c>
    </row>
    <row r="128" customFormat="false" ht="15" hidden="false" customHeight="false" outlineLevel="0" collapsed="false">
      <c r="A128" s="6" t="n">
        <v>127</v>
      </c>
      <c r="B128" s="7" t="s">
        <v>271</v>
      </c>
      <c r="C128" s="6" t="s">
        <v>22</v>
      </c>
      <c r="D128" s="6" t="n">
        <v>6</v>
      </c>
      <c r="E128" s="8" t="n">
        <v>455</v>
      </c>
      <c r="F128" s="7" t="s">
        <v>22</v>
      </c>
      <c r="G128" s="9" t="n">
        <v>200</v>
      </c>
      <c r="H128" s="9" t="n">
        <v>350</v>
      </c>
      <c r="I128" s="10" t="n">
        <f aca="false">IF(E128=0,0,(E128-H128)/E128)</f>
        <v>0.230769230769231</v>
      </c>
      <c r="J128" s="6" t="str">
        <f aca="false">IF(E128&lt;G128,"LOSS",IF(E128&lt;H128*1.1,"THIN / RISK",IF(E128&gt;H128*1.8,"OVERPRICED?","OK")))</f>
        <v>OK</v>
      </c>
      <c r="K128" s="8" t="n">
        <f aca="false">IF(J128="OVERPRICED?",ROUND(H128*1.35,-1),MAX(E128,ROUND(H128*(1+$E$3),-1)))</f>
        <v>455</v>
      </c>
      <c r="L128" s="8" t="n">
        <f aca="false">D128*E128</f>
        <v>2730</v>
      </c>
      <c r="M128" s="8" t="n">
        <f aca="false">D128*K128</f>
        <v>2730</v>
      </c>
      <c r="N128" s="8" t="n">
        <f aca="false">D128*H128</f>
        <v>2100</v>
      </c>
      <c r="O128" s="6" t="str">
        <f aca="false">IF(ISNUMBER(SEARCH(C128,F128)),"","YES")</f>
        <v/>
      </c>
      <c r="P128" s="6" t="s">
        <v>30</v>
      </c>
      <c r="Q128" s="7" t="s">
        <v>145</v>
      </c>
      <c r="R128" s="7" t="s">
        <v>32</v>
      </c>
    </row>
    <row r="129" customFormat="false" ht="15" hidden="false" customHeight="false" outlineLevel="0" collapsed="false">
      <c r="A129" s="6" t="n">
        <v>128</v>
      </c>
      <c r="B129" s="7" t="s">
        <v>272</v>
      </c>
      <c r="C129" s="6" t="s">
        <v>22</v>
      </c>
      <c r="D129" s="6" t="n">
        <v>6</v>
      </c>
      <c r="E129" s="8" t="n">
        <v>455</v>
      </c>
      <c r="F129" s="7" t="s">
        <v>22</v>
      </c>
      <c r="G129" s="9" t="n">
        <v>200</v>
      </c>
      <c r="H129" s="9" t="n">
        <v>350</v>
      </c>
      <c r="I129" s="10" t="n">
        <f aca="false">IF(E129=0,0,(E129-H129)/E129)</f>
        <v>0.230769230769231</v>
      </c>
      <c r="J129" s="6" t="str">
        <f aca="false">IF(E129&lt;G129,"LOSS",IF(E129&lt;H129*1.1,"THIN / RISK",IF(E129&gt;H129*1.8,"OVERPRICED?","OK")))</f>
        <v>OK</v>
      </c>
      <c r="K129" s="8" t="n">
        <f aca="false">IF(J129="OVERPRICED?",ROUND(H129*1.35,-1),MAX(E129,ROUND(H129*(1+$E$3),-1)))</f>
        <v>455</v>
      </c>
      <c r="L129" s="8" t="n">
        <f aca="false">D129*E129</f>
        <v>2730</v>
      </c>
      <c r="M129" s="8" t="n">
        <f aca="false">D129*K129</f>
        <v>2730</v>
      </c>
      <c r="N129" s="8" t="n">
        <f aca="false">D129*H129</f>
        <v>2100</v>
      </c>
      <c r="O129" s="6" t="str">
        <f aca="false">IF(ISNUMBER(SEARCH(C129,F129)),"","YES")</f>
        <v/>
      </c>
      <c r="P129" s="6" t="s">
        <v>30</v>
      </c>
      <c r="Q129" s="7" t="s">
        <v>145</v>
      </c>
      <c r="R129" s="7" t="s">
        <v>32</v>
      </c>
    </row>
    <row r="130" customFormat="false" ht="15" hidden="false" customHeight="false" outlineLevel="0" collapsed="false">
      <c r="A130" s="6" t="n">
        <v>129</v>
      </c>
      <c r="B130" s="7" t="s">
        <v>273</v>
      </c>
      <c r="C130" s="6" t="s">
        <v>22</v>
      </c>
      <c r="D130" s="6" t="n">
        <v>6</v>
      </c>
      <c r="E130" s="8" t="n">
        <v>455</v>
      </c>
      <c r="F130" s="7" t="s">
        <v>22</v>
      </c>
      <c r="G130" s="9" t="n">
        <v>200</v>
      </c>
      <c r="H130" s="9" t="n">
        <v>350</v>
      </c>
      <c r="I130" s="10" t="n">
        <f aca="false">IF(E130=0,0,(E130-H130)/E130)</f>
        <v>0.230769230769231</v>
      </c>
      <c r="J130" s="6" t="str">
        <f aca="false">IF(E130&lt;G130,"LOSS",IF(E130&lt;H130*1.1,"THIN / RISK",IF(E130&gt;H130*1.8,"OVERPRICED?","OK")))</f>
        <v>OK</v>
      </c>
      <c r="K130" s="8" t="n">
        <f aca="false">IF(J130="OVERPRICED?",ROUND(H130*1.35,-1),MAX(E130,ROUND(H130*(1+$E$3),-1)))</f>
        <v>455</v>
      </c>
      <c r="L130" s="8" t="n">
        <f aca="false">D130*E130</f>
        <v>2730</v>
      </c>
      <c r="M130" s="8" t="n">
        <f aca="false">D130*K130</f>
        <v>2730</v>
      </c>
      <c r="N130" s="8" t="n">
        <f aca="false">D130*H130</f>
        <v>2100</v>
      </c>
      <c r="O130" s="6" t="str">
        <f aca="false">IF(ISNUMBER(SEARCH(C130,F130)),"","YES")</f>
        <v/>
      </c>
      <c r="P130" s="6" t="s">
        <v>30</v>
      </c>
      <c r="Q130" s="7" t="s">
        <v>145</v>
      </c>
      <c r="R130" s="7" t="s">
        <v>32</v>
      </c>
    </row>
    <row r="131" customFormat="false" ht="22.35" hidden="false" customHeight="false" outlineLevel="0" collapsed="false">
      <c r="A131" s="6" t="n">
        <v>130</v>
      </c>
      <c r="B131" s="7" t="s">
        <v>274</v>
      </c>
      <c r="C131" s="6" t="s">
        <v>22</v>
      </c>
      <c r="D131" s="6" t="n">
        <v>6</v>
      </c>
      <c r="E131" s="8" t="n">
        <v>2340</v>
      </c>
      <c r="F131" s="7" t="s">
        <v>22</v>
      </c>
      <c r="G131" s="9" t="n">
        <v>1500</v>
      </c>
      <c r="H131" s="9" t="n">
        <v>2200</v>
      </c>
      <c r="I131" s="10" t="n">
        <f aca="false">IF(E131=0,0,(E131-H131)/E131)</f>
        <v>0.0598290598290598</v>
      </c>
      <c r="J131" s="6" t="str">
        <f aca="false">IF(E131&lt;G131,"LOSS",IF(E131&lt;H131*1.1,"THIN / RISK",IF(E131&gt;H131*1.8,"OVERPRICED?","OK")))</f>
        <v>THIN / RISK</v>
      </c>
      <c r="K131" s="8" t="n">
        <f aca="false">IF(J131="OVERPRICED?",ROUND(H131*1.35,-1),MAX(E131,ROUND(H131*(1+$E$3),-1)))</f>
        <v>2530</v>
      </c>
      <c r="L131" s="8" t="n">
        <f aca="false">D131*E131</f>
        <v>14040</v>
      </c>
      <c r="M131" s="8" t="n">
        <f aca="false">D131*K131</f>
        <v>15180</v>
      </c>
      <c r="N131" s="8" t="n">
        <f aca="false">D131*H131</f>
        <v>13200</v>
      </c>
      <c r="O131" s="6" t="str">
        <f aca="false">IF(ISNUMBER(SEARCH(C131,F131)),"","YES")</f>
        <v/>
      </c>
      <c r="P131" s="6" t="s">
        <v>30</v>
      </c>
      <c r="Q131" s="7" t="s">
        <v>275</v>
      </c>
      <c r="R131" s="7" t="s">
        <v>276</v>
      </c>
    </row>
    <row r="132" customFormat="false" ht="15" hidden="false" customHeight="false" outlineLevel="0" collapsed="false">
      <c r="A132" s="6" t="n">
        <v>131</v>
      </c>
      <c r="B132" s="7" t="s">
        <v>277</v>
      </c>
      <c r="C132" s="6" t="s">
        <v>22</v>
      </c>
      <c r="D132" s="6" t="n">
        <v>2</v>
      </c>
      <c r="E132" s="8" t="n">
        <v>7800</v>
      </c>
      <c r="F132" s="7" t="s">
        <v>278</v>
      </c>
      <c r="G132" s="9" t="n">
        <v>5000</v>
      </c>
      <c r="H132" s="9" t="n">
        <v>5000</v>
      </c>
      <c r="I132" s="10" t="n">
        <f aca="false">IF(E132=0,0,(E132-H132)/E132)</f>
        <v>0.358974358974359</v>
      </c>
      <c r="J132" s="6" t="str">
        <f aca="false">IF(E132&lt;G132,"LOSS",IF(E132&lt;H132*1.1,"THIN / RISK",IF(E132&gt;H132*1.8,"OVERPRICED?","OK")))</f>
        <v>OK</v>
      </c>
      <c r="K132" s="8" t="n">
        <f aca="false">IF(J132="OVERPRICED?",ROUND(H132*1.35,-1),MAX(E132,ROUND(H132*(1+$E$3),-1)))</f>
        <v>7800</v>
      </c>
      <c r="L132" s="8" t="n">
        <f aca="false">D132*E132</f>
        <v>15600</v>
      </c>
      <c r="M132" s="8" t="n">
        <f aca="false">D132*K132</f>
        <v>15600</v>
      </c>
      <c r="N132" s="8" t="n">
        <f aca="false">D132*H132</f>
        <v>10000</v>
      </c>
      <c r="O132" s="6" t="str">
        <f aca="false">IF(ISNUMBER(SEARCH(C132,F132)),"","YES")</f>
        <v>YES</v>
      </c>
      <c r="P132" s="6" t="s">
        <v>44</v>
      </c>
      <c r="Q132" s="7" t="s">
        <v>279</v>
      </c>
      <c r="R132" s="7"/>
    </row>
    <row r="133" customFormat="false" ht="15" hidden="false" customHeight="false" outlineLevel="0" collapsed="false">
      <c r="A133" s="6" t="n">
        <v>132</v>
      </c>
      <c r="B133" s="7" t="s">
        <v>280</v>
      </c>
      <c r="C133" s="6" t="s">
        <v>22</v>
      </c>
      <c r="D133" s="6" t="n">
        <v>10</v>
      </c>
      <c r="E133" s="8" t="n">
        <v>455</v>
      </c>
      <c r="F133" s="7" t="s">
        <v>22</v>
      </c>
      <c r="G133" s="9" t="n">
        <v>250</v>
      </c>
      <c r="H133" s="9" t="n">
        <v>400</v>
      </c>
      <c r="I133" s="10" t="n">
        <f aca="false">IF(E133=0,0,(E133-H133)/E133)</f>
        <v>0.120879120879121</v>
      </c>
      <c r="J133" s="6" t="str">
        <f aca="false">IF(E133&lt;G133,"LOSS",IF(E133&lt;H133*1.1,"THIN / RISK",IF(E133&gt;H133*1.8,"OVERPRICED?","OK")))</f>
        <v>OK</v>
      </c>
      <c r="K133" s="8" t="n">
        <f aca="false">IF(J133="OVERPRICED?",ROUND(H133*1.35,-1),MAX(E133,ROUND(H133*(1+$E$3),-1)))</f>
        <v>460</v>
      </c>
      <c r="L133" s="8" t="n">
        <f aca="false">D133*E133</f>
        <v>4550</v>
      </c>
      <c r="M133" s="8" t="n">
        <f aca="false">D133*K133</f>
        <v>4600</v>
      </c>
      <c r="N133" s="8" t="n">
        <f aca="false">D133*H133</f>
        <v>4000</v>
      </c>
      <c r="O133" s="6" t="str">
        <f aca="false">IF(ISNUMBER(SEARCH(C133,F133)),"","YES")</f>
        <v/>
      </c>
      <c r="P133" s="6" t="s">
        <v>30</v>
      </c>
      <c r="Q133" s="7" t="s">
        <v>257</v>
      </c>
      <c r="R133" s="7" t="s">
        <v>32</v>
      </c>
    </row>
    <row r="134" customFormat="false" ht="15" hidden="false" customHeight="false" outlineLevel="0" collapsed="false">
      <c r="A134" s="6" t="n">
        <v>133</v>
      </c>
      <c r="B134" s="7" t="s">
        <v>281</v>
      </c>
      <c r="C134" s="6" t="s">
        <v>28</v>
      </c>
      <c r="D134" s="6" t="n">
        <v>6</v>
      </c>
      <c r="E134" s="8" t="n">
        <v>650</v>
      </c>
      <c r="F134" s="7" t="s">
        <v>22</v>
      </c>
      <c r="G134" s="9" t="n">
        <v>300</v>
      </c>
      <c r="H134" s="9" t="n">
        <v>500</v>
      </c>
      <c r="I134" s="10" t="n">
        <f aca="false">IF(E134=0,0,(E134-H134)/E134)</f>
        <v>0.230769230769231</v>
      </c>
      <c r="J134" s="6" t="str">
        <f aca="false">IF(E134&lt;G134,"LOSS",IF(E134&lt;H134*1.1,"THIN / RISK",IF(E134&gt;H134*1.8,"OVERPRICED?","OK")))</f>
        <v>OK</v>
      </c>
      <c r="K134" s="8" t="n">
        <f aca="false">IF(J134="OVERPRICED?",ROUND(H134*1.35,-1),MAX(E134,ROUND(H134*(1+$E$3),-1)))</f>
        <v>650</v>
      </c>
      <c r="L134" s="8" t="n">
        <f aca="false">D134*E134</f>
        <v>3900</v>
      </c>
      <c r="M134" s="8" t="n">
        <f aca="false">D134*K134</f>
        <v>3900</v>
      </c>
      <c r="N134" s="8" t="n">
        <f aca="false">D134*H134</f>
        <v>3000</v>
      </c>
      <c r="O134" s="6" t="str">
        <f aca="false">IF(ISNUMBER(SEARCH(C134,F134)),"","YES")</f>
        <v>YES</v>
      </c>
      <c r="P134" s="6" t="s">
        <v>30</v>
      </c>
      <c r="Q134" s="7" t="s">
        <v>145</v>
      </c>
      <c r="R134" s="7" t="s">
        <v>32</v>
      </c>
    </row>
    <row r="135" customFormat="false" ht="15" hidden="false" customHeight="false" outlineLevel="0" collapsed="false">
      <c r="A135" s="6" t="n">
        <v>134</v>
      </c>
      <c r="B135" s="7" t="s">
        <v>282</v>
      </c>
      <c r="C135" s="6" t="s">
        <v>22</v>
      </c>
      <c r="D135" s="6" t="n">
        <v>6</v>
      </c>
      <c r="E135" s="8" t="n">
        <v>1040</v>
      </c>
      <c r="F135" s="7" t="s">
        <v>22</v>
      </c>
      <c r="G135" s="9" t="n">
        <v>600</v>
      </c>
      <c r="H135" s="9" t="n">
        <v>900</v>
      </c>
      <c r="I135" s="10" t="n">
        <f aca="false">IF(E135=0,0,(E135-H135)/E135)</f>
        <v>0.134615384615385</v>
      </c>
      <c r="J135" s="6" t="str">
        <f aca="false">IF(E135&lt;G135,"LOSS",IF(E135&lt;H135*1.1,"THIN / RISK",IF(E135&gt;H135*1.8,"OVERPRICED?","OK")))</f>
        <v>OK</v>
      </c>
      <c r="K135" s="8" t="n">
        <f aca="false">IF(J135="OVERPRICED?",ROUND(H135*1.35,-1),MAX(E135,ROUND(H135*(1+$E$3),-1)))</f>
        <v>1040</v>
      </c>
      <c r="L135" s="8" t="n">
        <f aca="false">D135*E135</f>
        <v>6240</v>
      </c>
      <c r="M135" s="8" t="n">
        <f aca="false">D135*K135</f>
        <v>6240</v>
      </c>
      <c r="N135" s="8" t="n">
        <f aca="false">D135*H135</f>
        <v>5400</v>
      </c>
      <c r="O135" s="6" t="str">
        <f aca="false">IF(ISNUMBER(SEARCH(C135,F135)),"","YES")</f>
        <v/>
      </c>
      <c r="P135" s="6" t="s">
        <v>30</v>
      </c>
      <c r="Q135" s="7" t="s">
        <v>145</v>
      </c>
      <c r="R135" s="7" t="s">
        <v>32</v>
      </c>
    </row>
    <row r="136" customFormat="false" ht="22.35" hidden="false" customHeight="false" outlineLevel="0" collapsed="false">
      <c r="A136" s="6" t="n">
        <v>135</v>
      </c>
      <c r="B136" s="7" t="s">
        <v>283</v>
      </c>
      <c r="C136" s="6" t="s">
        <v>22</v>
      </c>
      <c r="D136" s="6" t="n">
        <v>6</v>
      </c>
      <c r="E136" s="8" t="n">
        <v>2860</v>
      </c>
      <c r="F136" s="7" t="s">
        <v>43</v>
      </c>
      <c r="G136" s="9" t="n">
        <v>990</v>
      </c>
      <c r="H136" s="9" t="n">
        <v>990</v>
      </c>
      <c r="I136" s="10" t="n">
        <f aca="false">IF(E136=0,0,(E136-H136)/E136)</f>
        <v>0.653846153846154</v>
      </c>
      <c r="J136" s="6" t="str">
        <f aca="false">IF(E136&lt;G136,"LOSS",IF(E136&lt;H136*1.1,"THIN / RISK",IF(E136&gt;H136*1.8,"OVERPRICED?","OK")))</f>
        <v>OVERPRICED?</v>
      </c>
      <c r="K136" s="8" t="n">
        <f aca="false">IF(J136="OVERPRICED?",ROUND(H136*1.35,-1),MAX(E136,ROUND(H136*(1+$E$3),-1)))</f>
        <v>1340</v>
      </c>
      <c r="L136" s="8" t="n">
        <f aca="false">D136*E136</f>
        <v>17160</v>
      </c>
      <c r="M136" s="8" t="n">
        <f aca="false">D136*K136</f>
        <v>8040</v>
      </c>
      <c r="N136" s="8" t="n">
        <f aca="false">D136*H136</f>
        <v>5940</v>
      </c>
      <c r="O136" s="6" t="str">
        <f aca="false">IF(ISNUMBER(SEARCH(C136,F136)),"","YES")</f>
        <v>YES</v>
      </c>
      <c r="P136" s="6" t="s">
        <v>44</v>
      </c>
      <c r="Q136" s="7" t="s">
        <v>284</v>
      </c>
      <c r="R136" s="7"/>
    </row>
    <row r="137" customFormat="false" ht="22.35" hidden="false" customHeight="false" outlineLevel="0" collapsed="false">
      <c r="A137" s="6" t="n">
        <v>136</v>
      </c>
      <c r="B137" s="7" t="s">
        <v>285</v>
      </c>
      <c r="C137" s="6" t="s">
        <v>22</v>
      </c>
      <c r="D137" s="6" t="n">
        <v>500</v>
      </c>
      <c r="E137" s="8" t="n">
        <v>130</v>
      </c>
      <c r="F137" s="7" t="s">
        <v>43</v>
      </c>
      <c r="G137" s="9" t="n">
        <v>270</v>
      </c>
      <c r="H137" s="9" t="n">
        <v>270</v>
      </c>
      <c r="I137" s="10" t="n">
        <f aca="false">IF(E137=0,0,(E137-H137)/E137)</f>
        <v>-1.07692307692308</v>
      </c>
      <c r="J137" s="6" t="str">
        <f aca="false">IF(E137&lt;G137,"LOSS",IF(E137&lt;H137*1.1,"THIN / RISK",IF(E137&gt;H137*1.8,"OVERPRICED?","OK")))</f>
        <v>LOSS</v>
      </c>
      <c r="K137" s="8" t="n">
        <f aca="false">IF(J137="OVERPRICED?",ROUND(H137*1.35,-1),MAX(E137,ROUND(H137*(1+$E$3),-1)))</f>
        <v>310</v>
      </c>
      <c r="L137" s="8" t="n">
        <f aca="false">D137*E137</f>
        <v>65000</v>
      </c>
      <c r="M137" s="8" t="n">
        <f aca="false">D137*K137</f>
        <v>155000</v>
      </c>
      <c r="N137" s="8" t="n">
        <f aca="false">D137*H137</f>
        <v>135000</v>
      </c>
      <c r="O137" s="6" t="str">
        <f aca="false">IF(ISNUMBER(SEARCH(C137,F137)),"","YES")</f>
        <v>YES</v>
      </c>
      <c r="P137" s="6" t="s">
        <v>44</v>
      </c>
      <c r="Q137" s="7" t="s">
        <v>286</v>
      </c>
      <c r="R137" s="7"/>
    </row>
    <row r="138" customFormat="false" ht="22.35" hidden="false" customHeight="false" outlineLevel="0" collapsed="false">
      <c r="A138" s="6" t="n">
        <v>138</v>
      </c>
      <c r="B138" s="7" t="s">
        <v>287</v>
      </c>
      <c r="C138" s="6" t="s">
        <v>22</v>
      </c>
      <c r="D138" s="6" t="n">
        <v>24</v>
      </c>
      <c r="E138" s="8" t="n">
        <v>1170</v>
      </c>
      <c r="F138" s="7" t="s">
        <v>43</v>
      </c>
      <c r="G138" s="9" t="n">
        <v>590</v>
      </c>
      <c r="H138" s="9" t="n">
        <v>590</v>
      </c>
      <c r="I138" s="10" t="n">
        <f aca="false">IF(E138=0,0,(E138-H138)/E138)</f>
        <v>0.495726495726496</v>
      </c>
      <c r="J138" s="6" t="str">
        <f aca="false">IF(E138&lt;G138,"LOSS",IF(E138&lt;H138*1.1,"THIN / RISK",IF(E138&gt;H138*1.8,"OVERPRICED?","OK")))</f>
        <v>OVERPRICED?</v>
      </c>
      <c r="K138" s="8" t="n">
        <f aca="false">IF(J138="OVERPRICED?",ROUND(H138*1.35,-1),MAX(E138,ROUND(H138*(1+$E$3),-1)))</f>
        <v>800</v>
      </c>
      <c r="L138" s="8" t="n">
        <f aca="false">D138*E138</f>
        <v>28080</v>
      </c>
      <c r="M138" s="8" t="n">
        <f aca="false">D138*K138</f>
        <v>19200</v>
      </c>
      <c r="N138" s="8" t="n">
        <f aca="false">D138*H138</f>
        <v>14160</v>
      </c>
      <c r="O138" s="6" t="str">
        <f aca="false">IF(ISNUMBER(SEARCH(C138,F138)),"","YES")</f>
        <v>YES</v>
      </c>
      <c r="P138" s="6" t="s">
        <v>44</v>
      </c>
      <c r="Q138" s="7" t="s">
        <v>288</v>
      </c>
      <c r="R138" s="7"/>
    </row>
    <row r="139" customFormat="false" ht="15" hidden="false" customHeight="false" outlineLevel="0" collapsed="false">
      <c r="A139" s="6" t="n">
        <v>139</v>
      </c>
      <c r="B139" s="7" t="s">
        <v>289</v>
      </c>
      <c r="C139" s="6" t="s">
        <v>28</v>
      </c>
      <c r="D139" s="6" t="n">
        <v>24</v>
      </c>
      <c r="E139" s="8" t="n">
        <v>715</v>
      </c>
      <c r="F139" s="7" t="s">
        <v>22</v>
      </c>
      <c r="G139" s="9" t="n">
        <v>350</v>
      </c>
      <c r="H139" s="9" t="n">
        <v>600</v>
      </c>
      <c r="I139" s="10" t="n">
        <f aca="false">IF(E139=0,0,(E139-H139)/E139)</f>
        <v>0.160839160839161</v>
      </c>
      <c r="J139" s="6" t="str">
        <f aca="false">IF(E139&lt;G139,"LOSS",IF(E139&lt;H139*1.1,"THIN / RISK",IF(E139&gt;H139*1.8,"OVERPRICED?","OK")))</f>
        <v>OK</v>
      </c>
      <c r="K139" s="8" t="n">
        <f aca="false">IF(J139="OVERPRICED?",ROUND(H139*1.35,-1),MAX(E139,ROUND(H139*(1+$E$3),-1)))</f>
        <v>715</v>
      </c>
      <c r="L139" s="8" t="n">
        <f aca="false">D139*E139</f>
        <v>17160</v>
      </c>
      <c r="M139" s="8" t="n">
        <f aca="false">D139*K139</f>
        <v>17160</v>
      </c>
      <c r="N139" s="8" t="n">
        <f aca="false">D139*H139</f>
        <v>14400</v>
      </c>
      <c r="O139" s="6" t="str">
        <f aca="false">IF(ISNUMBER(SEARCH(C139,F139)),"","YES")</f>
        <v>YES</v>
      </c>
      <c r="P139" s="6" t="s">
        <v>30</v>
      </c>
      <c r="Q139" s="7" t="s">
        <v>145</v>
      </c>
      <c r="R139" s="7" t="s">
        <v>32</v>
      </c>
    </row>
    <row r="140" customFormat="false" ht="22.35" hidden="false" customHeight="false" outlineLevel="0" collapsed="false">
      <c r="A140" s="6" t="n">
        <v>140</v>
      </c>
      <c r="B140" s="7" t="s">
        <v>290</v>
      </c>
      <c r="C140" s="6" t="s">
        <v>22</v>
      </c>
      <c r="D140" s="6" t="n">
        <v>24</v>
      </c>
      <c r="E140" s="8" t="n">
        <v>1560</v>
      </c>
      <c r="F140" s="7" t="s">
        <v>22</v>
      </c>
      <c r="G140" s="9" t="n">
        <v>900</v>
      </c>
      <c r="H140" s="9" t="n">
        <v>1300</v>
      </c>
      <c r="I140" s="10" t="n">
        <f aca="false">IF(E140=0,0,(E140-H140)/E140)</f>
        <v>0.166666666666667</v>
      </c>
      <c r="J140" s="6" t="str">
        <f aca="false">IF(E140&lt;G140,"LOSS",IF(E140&lt;H140*1.1,"THIN / RISK",IF(E140&gt;H140*1.8,"OVERPRICED?","OK")))</f>
        <v>OK</v>
      </c>
      <c r="K140" s="8" t="n">
        <f aca="false">IF(J140="OVERPRICED?",ROUND(H140*1.35,-1),MAX(E140,ROUND(H140*(1+$E$3),-1)))</f>
        <v>1560</v>
      </c>
      <c r="L140" s="8" t="n">
        <f aca="false">D140*E140</f>
        <v>37440</v>
      </c>
      <c r="M140" s="8" t="n">
        <f aca="false">D140*K140</f>
        <v>37440</v>
      </c>
      <c r="N140" s="8" t="n">
        <f aca="false">D140*H140</f>
        <v>31200</v>
      </c>
      <c r="O140" s="6" t="str">
        <f aca="false">IF(ISNUMBER(SEARCH(C140,F140)),"","YES")</f>
        <v/>
      </c>
      <c r="P140" s="6" t="s">
        <v>30</v>
      </c>
      <c r="Q140" s="7" t="s">
        <v>145</v>
      </c>
      <c r="R140" s="7" t="s">
        <v>291</v>
      </c>
    </row>
    <row r="141" customFormat="false" ht="15" hidden="false" customHeight="false" outlineLevel="0" collapsed="false">
      <c r="A141" s="6" t="n">
        <v>142</v>
      </c>
      <c r="B141" s="7" t="s">
        <v>292</v>
      </c>
      <c r="C141" s="6" t="s">
        <v>22</v>
      </c>
      <c r="D141" s="6" t="n">
        <v>3</v>
      </c>
      <c r="E141" s="8" t="n">
        <v>7150</v>
      </c>
      <c r="F141" s="7" t="s">
        <v>293</v>
      </c>
      <c r="G141" s="9" t="n">
        <v>5000</v>
      </c>
      <c r="H141" s="9" t="n">
        <v>7000</v>
      </c>
      <c r="I141" s="10" t="n">
        <f aca="false">IF(E141=0,0,(E141-H141)/E141)</f>
        <v>0.020979020979021</v>
      </c>
      <c r="J141" s="6" t="str">
        <f aca="false">IF(E141&lt;G141,"LOSS",IF(E141&lt;H141*1.1,"THIN / RISK",IF(E141&gt;H141*1.8,"OVERPRICED?","OK")))</f>
        <v>THIN / RISK</v>
      </c>
      <c r="K141" s="8" t="n">
        <f aca="false">IF(J141="OVERPRICED?",ROUND(H141*1.35,-1),MAX(E141,ROUND(H141*(1+$E$3),-1)))</f>
        <v>8050</v>
      </c>
      <c r="L141" s="8" t="n">
        <f aca="false">D141*E141</f>
        <v>21450</v>
      </c>
      <c r="M141" s="8" t="n">
        <f aca="false">D141*K141</f>
        <v>24150</v>
      </c>
      <c r="N141" s="8" t="n">
        <f aca="false">D141*H141</f>
        <v>21000</v>
      </c>
      <c r="O141" s="6" t="str">
        <f aca="false">IF(ISNUMBER(SEARCH(C141,F141)),"","YES")</f>
        <v/>
      </c>
      <c r="P141" s="6" t="s">
        <v>30</v>
      </c>
      <c r="Q141" s="7" t="s">
        <v>145</v>
      </c>
      <c r="R141" s="7" t="s">
        <v>32</v>
      </c>
    </row>
    <row r="142" customFormat="false" ht="15" hidden="false" customHeight="false" outlineLevel="0" collapsed="false">
      <c r="A142" s="6" t="n">
        <v>143</v>
      </c>
      <c r="B142" s="7" t="s">
        <v>294</v>
      </c>
      <c r="C142" s="6" t="s">
        <v>22</v>
      </c>
      <c r="D142" s="6" t="n">
        <v>3</v>
      </c>
      <c r="E142" s="8" t="n">
        <v>7150</v>
      </c>
      <c r="F142" s="7" t="s">
        <v>293</v>
      </c>
      <c r="G142" s="9" t="n">
        <v>5000</v>
      </c>
      <c r="H142" s="9" t="n">
        <v>7000</v>
      </c>
      <c r="I142" s="10" t="n">
        <f aca="false">IF(E142=0,0,(E142-H142)/E142)</f>
        <v>0.020979020979021</v>
      </c>
      <c r="J142" s="6" t="str">
        <f aca="false">IF(E142&lt;G142,"LOSS",IF(E142&lt;H142*1.1,"THIN / RISK",IF(E142&gt;H142*1.8,"OVERPRICED?","OK")))</f>
        <v>THIN / RISK</v>
      </c>
      <c r="K142" s="8" t="n">
        <f aca="false">IF(J142="OVERPRICED?",ROUND(H142*1.35,-1),MAX(E142,ROUND(H142*(1+$E$3),-1)))</f>
        <v>8050</v>
      </c>
      <c r="L142" s="8" t="n">
        <f aca="false">D142*E142</f>
        <v>21450</v>
      </c>
      <c r="M142" s="8" t="n">
        <f aca="false">D142*K142</f>
        <v>24150</v>
      </c>
      <c r="N142" s="8" t="n">
        <f aca="false">D142*H142</f>
        <v>21000</v>
      </c>
      <c r="O142" s="6" t="str">
        <f aca="false">IF(ISNUMBER(SEARCH(C142,F142)),"","YES")</f>
        <v/>
      </c>
      <c r="P142" s="6" t="s">
        <v>30</v>
      </c>
      <c r="Q142" s="7" t="s">
        <v>145</v>
      </c>
      <c r="R142" s="7" t="s">
        <v>32</v>
      </c>
    </row>
    <row r="143" customFormat="false" ht="15" hidden="false" customHeight="false" outlineLevel="0" collapsed="false">
      <c r="A143" s="6" t="n">
        <v>144</v>
      </c>
      <c r="B143" s="7" t="s">
        <v>295</v>
      </c>
      <c r="C143" s="6" t="s">
        <v>22</v>
      </c>
      <c r="D143" s="6" t="n">
        <v>3</v>
      </c>
      <c r="E143" s="8" t="n">
        <v>8450</v>
      </c>
      <c r="F143" s="7" t="s">
        <v>293</v>
      </c>
      <c r="G143" s="9" t="n">
        <v>6000</v>
      </c>
      <c r="H143" s="9" t="n">
        <v>8000</v>
      </c>
      <c r="I143" s="10" t="n">
        <f aca="false">IF(E143=0,0,(E143-H143)/E143)</f>
        <v>0.0532544378698225</v>
      </c>
      <c r="J143" s="6" t="str">
        <f aca="false">IF(E143&lt;G143,"LOSS",IF(E143&lt;H143*1.1,"THIN / RISK",IF(E143&gt;H143*1.8,"OVERPRICED?","OK")))</f>
        <v>THIN / RISK</v>
      </c>
      <c r="K143" s="8" t="n">
        <f aca="false">IF(J143="OVERPRICED?",ROUND(H143*1.35,-1),MAX(E143,ROUND(H143*(1+$E$3),-1)))</f>
        <v>9200</v>
      </c>
      <c r="L143" s="8" t="n">
        <f aca="false">D143*E143</f>
        <v>25350</v>
      </c>
      <c r="M143" s="8" t="n">
        <f aca="false">D143*K143</f>
        <v>27600</v>
      </c>
      <c r="N143" s="8" t="n">
        <f aca="false">D143*H143</f>
        <v>24000</v>
      </c>
      <c r="O143" s="6" t="str">
        <f aca="false">IF(ISNUMBER(SEARCH(C143,F143)),"","YES")</f>
        <v/>
      </c>
      <c r="P143" s="6" t="s">
        <v>30</v>
      </c>
      <c r="Q143" s="7" t="s">
        <v>145</v>
      </c>
      <c r="R143" s="7" t="s">
        <v>32</v>
      </c>
    </row>
    <row r="144" customFormat="false" ht="15" hidden="false" customHeight="false" outlineLevel="0" collapsed="false">
      <c r="A144" s="6" t="n">
        <v>145</v>
      </c>
      <c r="B144" s="7" t="s">
        <v>296</v>
      </c>
      <c r="C144" s="6" t="s">
        <v>28</v>
      </c>
      <c r="D144" s="6" t="n">
        <v>500</v>
      </c>
      <c r="E144" s="8" t="n">
        <v>104</v>
      </c>
      <c r="F144" s="7" t="s">
        <v>297</v>
      </c>
      <c r="G144" s="9" t="n">
        <v>50</v>
      </c>
      <c r="H144" s="9" t="n">
        <v>80</v>
      </c>
      <c r="I144" s="10" t="n">
        <f aca="false">IF(E144=0,0,(E144-H144)/E144)</f>
        <v>0.230769230769231</v>
      </c>
      <c r="J144" s="6" t="str">
        <f aca="false">IF(E144&lt;G144,"LOSS",IF(E144&lt;H144*1.1,"THIN / RISK",IF(E144&gt;H144*1.8,"OVERPRICED?","OK")))</f>
        <v>OK</v>
      </c>
      <c r="K144" s="8" t="n">
        <f aca="false">IF(J144="OVERPRICED?",ROUND(H144*1.35,-1),MAX(E144,ROUND(H144*(1+$E$3),-1)))</f>
        <v>104</v>
      </c>
      <c r="L144" s="8" t="n">
        <f aca="false">D144*E144</f>
        <v>52000</v>
      </c>
      <c r="M144" s="8" t="n">
        <f aca="false">D144*K144</f>
        <v>52000</v>
      </c>
      <c r="N144" s="8" t="n">
        <f aca="false">D144*H144</f>
        <v>40000</v>
      </c>
      <c r="O144" s="6" t="str">
        <f aca="false">IF(ISNUMBER(SEARCH(C144,F144)),"","YES")</f>
        <v>YES</v>
      </c>
      <c r="P144" s="6" t="s">
        <v>30</v>
      </c>
      <c r="Q144" s="7" t="s">
        <v>257</v>
      </c>
      <c r="R144" s="7" t="s">
        <v>32</v>
      </c>
    </row>
    <row r="145" customFormat="false" ht="22.35" hidden="false" customHeight="false" outlineLevel="0" collapsed="false">
      <c r="A145" s="6" t="n">
        <v>146</v>
      </c>
      <c r="B145" s="7" t="s">
        <v>298</v>
      </c>
      <c r="C145" s="6" t="s">
        <v>22</v>
      </c>
      <c r="D145" s="6" t="n">
        <v>1</v>
      </c>
      <c r="E145" s="8" t="n">
        <v>105788</v>
      </c>
      <c r="F145" s="7" t="s">
        <v>299</v>
      </c>
      <c r="G145" s="9" t="n">
        <v>82000</v>
      </c>
      <c r="H145" s="9" t="n">
        <v>82000</v>
      </c>
      <c r="I145" s="10" t="n">
        <f aca="false">IF(E145=0,0,(E145-H145)/E145)</f>
        <v>0.224864823987598</v>
      </c>
      <c r="J145" s="6" t="str">
        <f aca="false">IF(E145&lt;G145,"LOSS",IF(E145&lt;H145*1.1,"THIN / RISK",IF(E145&gt;H145*1.8,"OVERPRICED?","OK")))</f>
        <v>OK</v>
      </c>
      <c r="K145" s="8" t="n">
        <f aca="false">IF(J145="OVERPRICED?",ROUND(H145*1.35,-1),MAX(E145,ROUND(H145*(1+$E$3),-1)))</f>
        <v>105788</v>
      </c>
      <c r="L145" s="8" t="n">
        <f aca="false">D145*E145</f>
        <v>105788</v>
      </c>
      <c r="M145" s="8" t="n">
        <f aca="false">D145*K145</f>
        <v>105788</v>
      </c>
      <c r="N145" s="8" t="n">
        <f aca="false">D145*H145</f>
        <v>82000</v>
      </c>
      <c r="O145" s="6" t="str">
        <f aca="false">IF(ISNUMBER(SEARCH(C145,F145)),"","YES")</f>
        <v/>
      </c>
      <c r="P145" s="6" t="s">
        <v>44</v>
      </c>
      <c r="Q145" s="7" t="s">
        <v>300</v>
      </c>
      <c r="R145" s="7"/>
    </row>
    <row r="146" customFormat="false" ht="15" hidden="false" customHeight="false" outlineLevel="0" collapsed="false">
      <c r="A146" s="6" t="n">
        <v>147</v>
      </c>
      <c r="B146" s="7" t="s">
        <v>301</v>
      </c>
      <c r="C146" s="6" t="s">
        <v>22</v>
      </c>
      <c r="D146" s="6" t="n">
        <v>1</v>
      </c>
      <c r="E146" s="8" t="n">
        <v>245700</v>
      </c>
      <c r="F146" s="7" t="s">
        <v>299</v>
      </c>
      <c r="G146" s="9" t="n">
        <v>225000</v>
      </c>
      <c r="H146" s="9" t="n">
        <v>225000</v>
      </c>
      <c r="I146" s="10" t="n">
        <f aca="false">IF(E146=0,0,(E146-H146)/E146)</f>
        <v>0.0842490842490843</v>
      </c>
      <c r="J146" s="6" t="str">
        <f aca="false">IF(E146&lt;G146,"LOSS",IF(E146&lt;H146*1.1,"THIN / RISK",IF(E146&gt;H146*1.8,"OVERPRICED?","OK")))</f>
        <v>THIN / RISK</v>
      </c>
      <c r="K146" s="8" t="n">
        <f aca="false">IF(J146="OVERPRICED?",ROUND(H146*1.35,-1),MAX(E146,ROUND(H146*(1+$E$3),-1)))</f>
        <v>258750</v>
      </c>
      <c r="L146" s="8" t="n">
        <f aca="false">D146*E146</f>
        <v>245700</v>
      </c>
      <c r="M146" s="8" t="n">
        <f aca="false">D146*K146</f>
        <v>258750</v>
      </c>
      <c r="N146" s="8" t="n">
        <f aca="false">D146*H146</f>
        <v>225000</v>
      </c>
      <c r="O146" s="6" t="str">
        <f aca="false">IF(ISNUMBER(SEARCH(C146,F146)),"","YES")</f>
        <v/>
      </c>
      <c r="P146" s="6" t="s">
        <v>44</v>
      </c>
      <c r="Q146" s="7" t="s">
        <v>302</v>
      </c>
      <c r="R146" s="7"/>
    </row>
    <row r="147" customFormat="false" ht="15" hidden="false" customHeight="false" outlineLevel="0" collapsed="false">
      <c r="A147" s="6" t="n">
        <v>148</v>
      </c>
      <c r="B147" s="7" t="s">
        <v>303</v>
      </c>
      <c r="C147" s="6" t="s">
        <v>28</v>
      </c>
      <c r="D147" s="6" t="n">
        <v>12</v>
      </c>
      <c r="E147" s="8" t="n">
        <v>650</v>
      </c>
      <c r="F147" s="7" t="s">
        <v>61</v>
      </c>
      <c r="G147" s="9" t="n">
        <v>360</v>
      </c>
      <c r="H147" s="9" t="n">
        <v>360</v>
      </c>
      <c r="I147" s="10" t="n">
        <f aca="false">IF(E147=0,0,(E147-H147)/E147)</f>
        <v>0.446153846153846</v>
      </c>
      <c r="J147" s="6" t="str">
        <f aca="false">IF(E147&lt;G147,"LOSS",IF(E147&lt;H147*1.1,"THIN / RISK",IF(E147&gt;H147*1.8,"OVERPRICED?","OK")))</f>
        <v>OVERPRICED?</v>
      </c>
      <c r="K147" s="8" t="n">
        <f aca="false">IF(J147="OVERPRICED?",ROUND(H147*1.35,-1),MAX(E147,ROUND(H147*(1+$E$3),-1)))</f>
        <v>490</v>
      </c>
      <c r="L147" s="8" t="n">
        <f aca="false">D147*E147</f>
        <v>7800</v>
      </c>
      <c r="M147" s="8" t="n">
        <f aca="false">D147*K147</f>
        <v>5880</v>
      </c>
      <c r="N147" s="8" t="n">
        <f aca="false">D147*H147</f>
        <v>4320</v>
      </c>
      <c r="O147" s="6" t="str">
        <f aca="false">IF(ISNUMBER(SEARCH(C147,F147)),"","YES")</f>
        <v>YES</v>
      </c>
      <c r="P147" s="6" t="s">
        <v>44</v>
      </c>
      <c r="Q147" s="7" t="s">
        <v>304</v>
      </c>
      <c r="R147" s="7"/>
    </row>
    <row r="148" customFormat="false" ht="15" hidden="false" customHeight="false" outlineLevel="0" collapsed="false">
      <c r="A148" s="6" t="n">
        <v>149</v>
      </c>
      <c r="B148" s="7" t="s">
        <v>305</v>
      </c>
      <c r="C148" s="6" t="s">
        <v>22</v>
      </c>
      <c r="D148" s="6" t="n">
        <v>100</v>
      </c>
      <c r="E148" s="8" t="n">
        <v>1754</v>
      </c>
      <c r="F148" s="7" t="s">
        <v>306</v>
      </c>
      <c r="G148" s="9" t="n">
        <v>1380</v>
      </c>
      <c r="H148" s="9" t="n">
        <v>1380</v>
      </c>
      <c r="I148" s="10" t="n">
        <f aca="false">IF(E148=0,0,(E148-H148)/E148)</f>
        <v>0.213226909920182</v>
      </c>
      <c r="J148" s="6" t="str">
        <f aca="false">IF(E148&lt;G148,"LOSS",IF(E148&lt;H148*1.1,"THIN / RISK",IF(E148&gt;H148*1.8,"OVERPRICED?","OK")))</f>
        <v>OK</v>
      </c>
      <c r="K148" s="8" t="n">
        <f aca="false">IF(J148="OVERPRICED?",ROUND(H148*1.35,-1),MAX(E148,ROUND(H148*(1+$E$3),-1)))</f>
        <v>1754</v>
      </c>
      <c r="L148" s="8" t="n">
        <f aca="false">D148*E148</f>
        <v>175400</v>
      </c>
      <c r="M148" s="8" t="n">
        <f aca="false">D148*K148</f>
        <v>175400</v>
      </c>
      <c r="N148" s="8" t="n">
        <f aca="false">D148*H148</f>
        <v>138000</v>
      </c>
      <c r="O148" s="6" t="str">
        <f aca="false">IF(ISNUMBER(SEARCH(C148,F148)),"","YES")</f>
        <v>YES</v>
      </c>
      <c r="P148" s="6" t="s">
        <v>44</v>
      </c>
      <c r="Q148" s="7" t="s">
        <v>307</v>
      </c>
      <c r="R148" s="7"/>
    </row>
    <row r="149" customFormat="false" ht="22.35" hidden="false" customHeight="false" outlineLevel="0" collapsed="false">
      <c r="A149" s="6" t="n">
        <v>150</v>
      </c>
      <c r="B149" s="7" t="s">
        <v>308</v>
      </c>
      <c r="C149" s="6" t="s">
        <v>22</v>
      </c>
      <c r="D149" s="6" t="n">
        <v>100</v>
      </c>
      <c r="E149" s="8" t="n">
        <v>1235</v>
      </c>
      <c r="F149" s="7" t="s">
        <v>43</v>
      </c>
      <c r="G149" s="9" t="n">
        <v>900</v>
      </c>
      <c r="H149" s="9" t="n">
        <v>900</v>
      </c>
      <c r="I149" s="10" t="n">
        <f aca="false">IF(E149=0,0,(E149-H149)/E149)</f>
        <v>0.271255060728745</v>
      </c>
      <c r="J149" s="6" t="str">
        <f aca="false">IF(E149&lt;G149,"LOSS",IF(E149&lt;H149*1.1,"THIN / RISK",IF(E149&gt;H149*1.8,"OVERPRICED?","OK")))</f>
        <v>OK</v>
      </c>
      <c r="K149" s="8" t="n">
        <f aca="false">IF(J149="OVERPRICED?",ROUND(H149*1.35,-1),MAX(E149,ROUND(H149*(1+$E$3),-1)))</f>
        <v>1235</v>
      </c>
      <c r="L149" s="8" t="n">
        <f aca="false">D149*E149</f>
        <v>123500</v>
      </c>
      <c r="M149" s="8" t="n">
        <f aca="false">D149*K149</f>
        <v>123500</v>
      </c>
      <c r="N149" s="8" t="n">
        <f aca="false">D149*H149</f>
        <v>90000</v>
      </c>
      <c r="O149" s="6" t="str">
        <f aca="false">IF(ISNUMBER(SEARCH(C149,F149)),"","YES")</f>
        <v>YES</v>
      </c>
      <c r="P149" s="6" t="s">
        <v>44</v>
      </c>
      <c r="Q149" s="7" t="s">
        <v>309</v>
      </c>
      <c r="R149" s="7"/>
    </row>
    <row r="150" customFormat="false" ht="22.35" hidden="false" customHeight="false" outlineLevel="0" collapsed="false">
      <c r="A150" s="6" t="n">
        <v>151</v>
      </c>
      <c r="B150" s="7" t="s">
        <v>310</v>
      </c>
      <c r="C150" s="6" t="s">
        <v>22</v>
      </c>
      <c r="D150" s="6" t="n">
        <v>100</v>
      </c>
      <c r="E150" s="8" t="n">
        <v>650</v>
      </c>
      <c r="F150" s="7" t="s">
        <v>43</v>
      </c>
      <c r="G150" s="9" t="n">
        <v>590</v>
      </c>
      <c r="H150" s="9" t="n">
        <v>590</v>
      </c>
      <c r="I150" s="10" t="n">
        <f aca="false">IF(E150=0,0,(E150-H150)/E150)</f>
        <v>0.0923076923076923</v>
      </c>
      <c r="J150" s="6" t="str">
        <f aca="false">IF(E150&lt;G150,"LOSS",IF(E150&lt;H150*1.1,"THIN / RISK",IF(E150&gt;H150*1.8,"OVERPRICED?","OK")))</f>
        <v>OK</v>
      </c>
      <c r="K150" s="8" t="n">
        <f aca="false">IF(J150="OVERPRICED?",ROUND(H150*1.35,-1),MAX(E150,ROUND(H150*(1+$E$3),-1)))</f>
        <v>680</v>
      </c>
      <c r="L150" s="8" t="n">
        <f aca="false">D150*E150</f>
        <v>65000</v>
      </c>
      <c r="M150" s="8" t="n">
        <f aca="false">D150*K150</f>
        <v>68000</v>
      </c>
      <c r="N150" s="8" t="n">
        <f aca="false">D150*H150</f>
        <v>59000</v>
      </c>
      <c r="O150" s="6" t="str">
        <f aca="false">IF(ISNUMBER(SEARCH(C150,F150)),"","YES")</f>
        <v>YES</v>
      </c>
      <c r="P150" s="6" t="s">
        <v>44</v>
      </c>
      <c r="Q150" s="7" t="s">
        <v>311</v>
      </c>
      <c r="R150" s="7"/>
    </row>
    <row r="151" customFormat="false" ht="22.35" hidden="false" customHeight="false" outlineLevel="0" collapsed="false">
      <c r="A151" s="6" t="n">
        <v>152</v>
      </c>
      <c r="B151" s="7" t="s">
        <v>312</v>
      </c>
      <c r="C151" s="6" t="s">
        <v>22</v>
      </c>
      <c r="D151" s="6" t="n">
        <v>24</v>
      </c>
      <c r="E151" s="8" t="n">
        <v>546</v>
      </c>
      <c r="F151" s="7" t="s">
        <v>43</v>
      </c>
      <c r="G151" s="9" t="n">
        <v>550</v>
      </c>
      <c r="H151" s="9" t="n">
        <v>550</v>
      </c>
      <c r="I151" s="10" t="n">
        <f aca="false">IF(E151=0,0,(E151-H151)/E151)</f>
        <v>-0.00732600732600733</v>
      </c>
      <c r="J151" s="6" t="str">
        <f aca="false">IF(E151&lt;G151,"LOSS",IF(E151&lt;H151*1.1,"THIN / RISK",IF(E151&gt;H151*1.8,"OVERPRICED?","OK")))</f>
        <v>LOSS</v>
      </c>
      <c r="K151" s="8" t="n">
        <f aca="false">IF(J151="OVERPRICED?",ROUND(H151*1.35,-1),MAX(E151,ROUND(H151*(1+$E$3),-1)))</f>
        <v>630</v>
      </c>
      <c r="L151" s="8" t="n">
        <f aca="false">D151*E151</f>
        <v>13104</v>
      </c>
      <c r="M151" s="8" t="n">
        <f aca="false">D151*K151</f>
        <v>15120</v>
      </c>
      <c r="N151" s="8" t="n">
        <f aca="false">D151*H151</f>
        <v>13200</v>
      </c>
      <c r="O151" s="6" t="str">
        <f aca="false">IF(ISNUMBER(SEARCH(C151,F151)),"","YES")</f>
        <v>YES</v>
      </c>
      <c r="P151" s="6" t="s">
        <v>44</v>
      </c>
      <c r="Q151" s="7" t="s">
        <v>313</v>
      </c>
      <c r="R151" s="7"/>
    </row>
    <row r="152" customFormat="false" ht="15" hidden="false" customHeight="false" outlineLevel="0" collapsed="false">
      <c r="A152" s="6" t="n">
        <v>153</v>
      </c>
      <c r="B152" s="7" t="s">
        <v>314</v>
      </c>
      <c r="C152" s="6" t="s">
        <v>22</v>
      </c>
      <c r="D152" s="6" t="n">
        <v>24</v>
      </c>
      <c r="E152" s="8" t="n">
        <v>1105</v>
      </c>
      <c r="F152" s="7" t="s">
        <v>43</v>
      </c>
      <c r="G152" s="9" t="n">
        <v>730</v>
      </c>
      <c r="H152" s="9" t="n">
        <v>730</v>
      </c>
      <c r="I152" s="10" t="n">
        <f aca="false">IF(E152=0,0,(E152-H152)/E152)</f>
        <v>0.339366515837104</v>
      </c>
      <c r="J152" s="6" t="str">
        <f aca="false">IF(E152&lt;G152,"LOSS",IF(E152&lt;H152*1.1,"THIN / RISK",IF(E152&gt;H152*1.8,"OVERPRICED?","OK")))</f>
        <v>OK</v>
      </c>
      <c r="K152" s="8" t="n">
        <f aca="false">IF(J152="OVERPRICED?",ROUND(H152*1.35,-1),MAX(E152,ROUND(H152*(1+$E$3),-1)))</f>
        <v>1105</v>
      </c>
      <c r="L152" s="8" t="n">
        <f aca="false">D152*E152</f>
        <v>26520</v>
      </c>
      <c r="M152" s="8" t="n">
        <f aca="false">D152*K152</f>
        <v>26520</v>
      </c>
      <c r="N152" s="8" t="n">
        <f aca="false">D152*H152</f>
        <v>17520</v>
      </c>
      <c r="O152" s="6" t="str">
        <f aca="false">IF(ISNUMBER(SEARCH(C152,F152)),"","YES")</f>
        <v>YES</v>
      </c>
      <c r="P152" s="6" t="s">
        <v>44</v>
      </c>
      <c r="Q152" s="7" t="s">
        <v>315</v>
      </c>
      <c r="R152" s="7"/>
    </row>
    <row r="153" customFormat="false" ht="15" hidden="false" customHeight="false" outlineLevel="0" collapsed="false">
      <c r="A153" s="6" t="n">
        <v>154</v>
      </c>
      <c r="B153" s="7" t="s">
        <v>316</v>
      </c>
      <c r="C153" s="6" t="s">
        <v>22</v>
      </c>
      <c r="D153" s="6" t="n">
        <v>12</v>
      </c>
      <c r="E153" s="8" t="n">
        <v>1560</v>
      </c>
      <c r="F153" s="7" t="s">
        <v>22</v>
      </c>
      <c r="G153" s="9" t="n">
        <v>900</v>
      </c>
      <c r="H153" s="9" t="n">
        <v>1300</v>
      </c>
      <c r="I153" s="10" t="n">
        <f aca="false">IF(E153=0,0,(E153-H153)/E153)</f>
        <v>0.166666666666667</v>
      </c>
      <c r="J153" s="6" t="str">
        <f aca="false">IF(E153&lt;G153,"LOSS",IF(E153&lt;H153*1.1,"THIN / RISK",IF(E153&gt;H153*1.8,"OVERPRICED?","OK")))</f>
        <v>OK</v>
      </c>
      <c r="K153" s="8" t="n">
        <f aca="false">IF(J153="OVERPRICED?",ROUND(H153*1.35,-1),MAX(E153,ROUND(H153*(1+$E$3),-1)))</f>
        <v>1560</v>
      </c>
      <c r="L153" s="8" t="n">
        <f aca="false">D153*E153</f>
        <v>18720</v>
      </c>
      <c r="M153" s="8" t="n">
        <f aca="false">D153*K153</f>
        <v>18720</v>
      </c>
      <c r="N153" s="8" t="n">
        <f aca="false">D153*H153</f>
        <v>15600</v>
      </c>
      <c r="O153" s="6" t="str">
        <f aca="false">IF(ISNUMBER(SEARCH(C153,F153)),"","YES")</f>
        <v/>
      </c>
      <c r="P153" s="6" t="s">
        <v>30</v>
      </c>
      <c r="Q153" s="7" t="s">
        <v>145</v>
      </c>
      <c r="R153" s="7" t="s">
        <v>32</v>
      </c>
    </row>
    <row r="154" customFormat="false" ht="15" hidden="false" customHeight="false" outlineLevel="0" collapsed="false">
      <c r="A154" s="6" t="n">
        <v>155</v>
      </c>
      <c r="B154" s="7" t="s">
        <v>317</v>
      </c>
      <c r="C154" s="6" t="s">
        <v>22</v>
      </c>
      <c r="D154" s="6" t="n">
        <v>50</v>
      </c>
      <c r="E154" s="8" t="n">
        <v>748</v>
      </c>
      <c r="F154" s="7" t="s">
        <v>318</v>
      </c>
      <c r="G154" s="9" t="n">
        <v>450</v>
      </c>
      <c r="H154" s="9" t="n">
        <v>450</v>
      </c>
      <c r="I154" s="10" t="n">
        <f aca="false">IF(E154=0,0,(E154-H154)/E154)</f>
        <v>0.398395721925134</v>
      </c>
      <c r="J154" s="6" t="str">
        <f aca="false">IF(E154&lt;G154,"LOSS",IF(E154&lt;H154*1.1,"THIN / RISK",IF(E154&gt;H154*1.8,"OVERPRICED?","OK")))</f>
        <v>OK</v>
      </c>
      <c r="K154" s="8" t="n">
        <f aca="false">IF(J154="OVERPRICED?",ROUND(H154*1.35,-1),MAX(E154,ROUND(H154*(1+$E$3),-1)))</f>
        <v>748</v>
      </c>
      <c r="L154" s="8" t="n">
        <f aca="false">D154*E154</f>
        <v>37400</v>
      </c>
      <c r="M154" s="8" t="n">
        <f aca="false">D154*K154</f>
        <v>37400</v>
      </c>
      <c r="N154" s="8" t="n">
        <f aca="false">D154*H154</f>
        <v>22500</v>
      </c>
      <c r="O154" s="6" t="str">
        <f aca="false">IF(ISNUMBER(SEARCH(C154,F154)),"","YES")</f>
        <v>YES</v>
      </c>
      <c r="P154" s="6" t="s">
        <v>44</v>
      </c>
      <c r="Q154" s="7" t="s">
        <v>319</v>
      </c>
      <c r="R154" s="7"/>
    </row>
    <row r="155" customFormat="false" ht="15" hidden="false" customHeight="false" outlineLevel="0" collapsed="false">
      <c r="A155" s="6" t="n">
        <v>156</v>
      </c>
      <c r="B155" s="7" t="s">
        <v>320</v>
      </c>
      <c r="C155" s="6" t="s">
        <v>22</v>
      </c>
      <c r="D155" s="6" t="n">
        <v>30</v>
      </c>
      <c r="E155" s="8" t="n">
        <v>748</v>
      </c>
      <c r="F155" s="7" t="s">
        <v>318</v>
      </c>
      <c r="G155" s="9" t="n">
        <v>450</v>
      </c>
      <c r="H155" s="9" t="n">
        <v>450</v>
      </c>
      <c r="I155" s="10" t="n">
        <f aca="false">IF(E155=0,0,(E155-H155)/E155)</f>
        <v>0.398395721925134</v>
      </c>
      <c r="J155" s="6" t="str">
        <f aca="false">IF(E155&lt;G155,"LOSS",IF(E155&lt;H155*1.1,"THIN / RISK",IF(E155&gt;H155*1.8,"OVERPRICED?","OK")))</f>
        <v>OK</v>
      </c>
      <c r="K155" s="8" t="n">
        <f aca="false">IF(J155="OVERPRICED?",ROUND(H155*1.35,-1),MAX(E155,ROUND(H155*(1+$E$3),-1)))</f>
        <v>748</v>
      </c>
      <c r="L155" s="8" t="n">
        <f aca="false">D155*E155</f>
        <v>22440</v>
      </c>
      <c r="M155" s="8" t="n">
        <f aca="false">D155*K155</f>
        <v>22440</v>
      </c>
      <c r="N155" s="8" t="n">
        <f aca="false">D155*H155</f>
        <v>13500</v>
      </c>
      <c r="O155" s="6" t="str">
        <f aca="false">IF(ISNUMBER(SEARCH(C155,F155)),"","YES")</f>
        <v>YES</v>
      </c>
      <c r="P155" s="6" t="s">
        <v>44</v>
      </c>
      <c r="Q155" s="7" t="s">
        <v>321</v>
      </c>
      <c r="R155" s="7"/>
    </row>
    <row r="156" customFormat="false" ht="22.35" hidden="false" customHeight="false" outlineLevel="0" collapsed="false">
      <c r="A156" s="6" t="n">
        <v>157</v>
      </c>
      <c r="B156" s="7" t="s">
        <v>322</v>
      </c>
      <c r="C156" s="6" t="s">
        <v>22</v>
      </c>
      <c r="D156" s="6" t="n">
        <v>30</v>
      </c>
      <c r="E156" s="8" t="n">
        <v>748</v>
      </c>
      <c r="F156" s="7" t="s">
        <v>323</v>
      </c>
      <c r="G156" s="9" t="n">
        <v>400</v>
      </c>
      <c r="H156" s="9" t="n">
        <v>400</v>
      </c>
      <c r="I156" s="10" t="n">
        <f aca="false">IF(E156=0,0,(E156-H156)/E156)</f>
        <v>0.46524064171123</v>
      </c>
      <c r="J156" s="6" t="str">
        <f aca="false">IF(E156&lt;G156,"LOSS",IF(E156&lt;H156*1.1,"THIN / RISK",IF(E156&gt;H156*1.8,"OVERPRICED?","OK")))</f>
        <v>OVERPRICED?</v>
      </c>
      <c r="K156" s="8" t="n">
        <f aca="false">IF(J156="OVERPRICED?",ROUND(H156*1.35,-1),MAX(E156,ROUND(H156*(1+$E$3),-1)))</f>
        <v>540</v>
      </c>
      <c r="L156" s="8" t="n">
        <f aca="false">D156*E156</f>
        <v>22440</v>
      </c>
      <c r="M156" s="8" t="n">
        <f aca="false">D156*K156</f>
        <v>16200</v>
      </c>
      <c r="N156" s="8" t="n">
        <f aca="false">D156*H156</f>
        <v>12000</v>
      </c>
      <c r="O156" s="6" t="str">
        <f aca="false">IF(ISNUMBER(SEARCH(C156,F156)),"","YES")</f>
        <v>YES</v>
      </c>
      <c r="P156" s="6" t="s">
        <v>44</v>
      </c>
      <c r="Q156" s="7" t="s">
        <v>324</v>
      </c>
      <c r="R156" s="7"/>
    </row>
    <row r="157" customFormat="false" ht="22.35" hidden="false" customHeight="false" outlineLevel="0" collapsed="false">
      <c r="A157" s="6" t="n">
        <v>158</v>
      </c>
      <c r="B157" s="7" t="s">
        <v>325</v>
      </c>
      <c r="C157" s="6" t="s">
        <v>28</v>
      </c>
      <c r="D157" s="6" t="n">
        <v>12</v>
      </c>
      <c r="E157" s="8" t="n">
        <v>311</v>
      </c>
      <c r="F157" s="7" t="s">
        <v>326</v>
      </c>
      <c r="G157" s="9" t="n">
        <v>203</v>
      </c>
      <c r="H157" s="9" t="n">
        <v>203</v>
      </c>
      <c r="I157" s="10" t="n">
        <f aca="false">IF(E157=0,0,(E157-H157)/E157)</f>
        <v>0.347266881028939</v>
      </c>
      <c r="J157" s="6" t="str">
        <f aca="false">IF(E157&lt;G157,"LOSS",IF(E157&lt;H157*1.1,"THIN / RISK",IF(E157&gt;H157*1.8,"OVERPRICED?","OK")))</f>
        <v>OK</v>
      </c>
      <c r="K157" s="8" t="n">
        <f aca="false">IF(J157="OVERPRICED?",ROUND(H157*1.35,-1),MAX(E157,ROUND(H157*(1+$E$3),-1)))</f>
        <v>311</v>
      </c>
      <c r="L157" s="8" t="n">
        <f aca="false">D157*E157</f>
        <v>3732</v>
      </c>
      <c r="M157" s="8" t="n">
        <f aca="false">D157*K157</f>
        <v>3732</v>
      </c>
      <c r="N157" s="8" t="n">
        <f aca="false">D157*H157</f>
        <v>2436</v>
      </c>
      <c r="O157" s="6" t="str">
        <f aca="false">IF(ISNUMBER(SEARCH(C157,F157)),"","YES")</f>
        <v>YES</v>
      </c>
      <c r="P157" s="6" t="s">
        <v>44</v>
      </c>
      <c r="Q157" s="7" t="s">
        <v>327</v>
      </c>
      <c r="R157" s="7"/>
    </row>
    <row r="158" customFormat="false" ht="22.35" hidden="false" customHeight="false" outlineLevel="0" collapsed="false">
      <c r="A158" s="6" t="n">
        <v>159</v>
      </c>
      <c r="B158" s="7" t="s">
        <v>328</v>
      </c>
      <c r="C158" s="6" t="s">
        <v>28</v>
      </c>
      <c r="D158" s="6" t="n">
        <v>100</v>
      </c>
      <c r="E158" s="8" t="n">
        <v>325</v>
      </c>
      <c r="F158" s="7" t="s">
        <v>326</v>
      </c>
      <c r="G158" s="9" t="n">
        <v>160</v>
      </c>
      <c r="H158" s="9" t="n">
        <v>160</v>
      </c>
      <c r="I158" s="10" t="n">
        <f aca="false">IF(E158=0,0,(E158-H158)/E158)</f>
        <v>0.507692307692308</v>
      </c>
      <c r="J158" s="6" t="str">
        <f aca="false">IF(E158&lt;G158,"LOSS",IF(E158&lt;H158*1.1,"THIN / RISK",IF(E158&gt;H158*1.8,"OVERPRICED?","OK")))</f>
        <v>OVERPRICED?</v>
      </c>
      <c r="K158" s="8" t="n">
        <f aca="false">IF(J158="OVERPRICED?",ROUND(H158*1.35,-1),MAX(E158,ROUND(H158*(1+$E$3),-1)))</f>
        <v>220</v>
      </c>
      <c r="L158" s="8" t="n">
        <f aca="false">D158*E158</f>
        <v>32500</v>
      </c>
      <c r="M158" s="8" t="n">
        <f aca="false">D158*K158</f>
        <v>22000</v>
      </c>
      <c r="N158" s="8" t="n">
        <f aca="false">D158*H158</f>
        <v>16000</v>
      </c>
      <c r="O158" s="6" t="str">
        <f aca="false">IF(ISNUMBER(SEARCH(C158,F158)),"","YES")</f>
        <v>YES</v>
      </c>
      <c r="P158" s="6" t="s">
        <v>24</v>
      </c>
      <c r="Q158" s="7" t="s">
        <v>329</v>
      </c>
      <c r="R158" s="7" t="s">
        <v>26</v>
      </c>
    </row>
    <row r="159" customFormat="false" ht="22.35" hidden="false" customHeight="false" outlineLevel="0" collapsed="false">
      <c r="A159" s="6" t="n">
        <v>160</v>
      </c>
      <c r="B159" s="7" t="s">
        <v>330</v>
      </c>
      <c r="C159" s="6" t="s">
        <v>28</v>
      </c>
      <c r="D159" s="6" t="n">
        <v>150</v>
      </c>
      <c r="E159" s="8" t="n">
        <v>117</v>
      </c>
      <c r="F159" s="7" t="s">
        <v>331</v>
      </c>
      <c r="G159" s="9" t="n">
        <v>65</v>
      </c>
      <c r="H159" s="9" t="n">
        <v>65</v>
      </c>
      <c r="I159" s="10" t="n">
        <f aca="false">IF(E159=0,0,(E159-H159)/E159)</f>
        <v>0.444444444444444</v>
      </c>
      <c r="J159" s="6" t="str">
        <f aca="false">IF(E159&lt;G159,"LOSS",IF(E159&lt;H159*1.1,"THIN / RISK",IF(E159&gt;H159*1.8,"OVERPRICED?","OK")))</f>
        <v>OK</v>
      </c>
      <c r="K159" s="8" t="n">
        <f aca="false">IF(J159="OVERPRICED?",ROUND(H159*1.35,-1),MAX(E159,ROUND(H159*(1+$E$3),-1)))</f>
        <v>117</v>
      </c>
      <c r="L159" s="8" t="n">
        <f aca="false">D159*E159</f>
        <v>17550</v>
      </c>
      <c r="M159" s="8" t="n">
        <f aca="false">D159*K159</f>
        <v>17550</v>
      </c>
      <c r="N159" s="8" t="n">
        <f aca="false">D159*H159</f>
        <v>9750</v>
      </c>
      <c r="O159" s="6" t="str">
        <f aca="false">IF(ISNUMBER(SEARCH(C159,F159)),"","YES")</f>
        <v>YES</v>
      </c>
      <c r="P159" s="6" t="s">
        <v>24</v>
      </c>
      <c r="Q159" s="7" t="s">
        <v>332</v>
      </c>
      <c r="R159" s="7" t="s">
        <v>26</v>
      </c>
    </row>
    <row r="160" customFormat="false" ht="15" hidden="false" customHeight="false" outlineLevel="0" collapsed="false">
      <c r="A160" s="6" t="n">
        <v>161</v>
      </c>
      <c r="B160" s="7" t="s">
        <v>333</v>
      </c>
      <c r="C160" s="6" t="s">
        <v>28</v>
      </c>
      <c r="D160" s="6" t="n">
        <v>150</v>
      </c>
      <c r="E160" s="8" t="n">
        <v>169</v>
      </c>
      <c r="F160" s="7" t="s">
        <v>334</v>
      </c>
      <c r="G160" s="9" t="n">
        <v>90</v>
      </c>
      <c r="H160" s="9" t="n">
        <v>140</v>
      </c>
      <c r="I160" s="10" t="n">
        <f aca="false">IF(E160=0,0,(E160-H160)/E160)</f>
        <v>0.171597633136095</v>
      </c>
      <c r="J160" s="6" t="str">
        <f aca="false">IF(E160&lt;G160,"LOSS",IF(E160&lt;H160*1.1,"THIN / RISK",IF(E160&gt;H160*1.8,"OVERPRICED?","OK")))</f>
        <v>OK</v>
      </c>
      <c r="K160" s="8" t="n">
        <f aca="false">IF(J160="OVERPRICED?",ROUND(H160*1.35,-1),MAX(E160,ROUND(H160*(1+$E$3),-1)))</f>
        <v>169</v>
      </c>
      <c r="L160" s="8" t="n">
        <f aca="false">D160*E160</f>
        <v>25350</v>
      </c>
      <c r="M160" s="8" t="n">
        <f aca="false">D160*K160</f>
        <v>25350</v>
      </c>
      <c r="N160" s="8" t="n">
        <f aca="false">D160*H160</f>
        <v>21000</v>
      </c>
      <c r="O160" s="6" t="str">
        <f aca="false">IF(ISNUMBER(SEARCH(C160,F160)),"","YES")</f>
        <v>YES</v>
      </c>
      <c r="P160" s="6" t="s">
        <v>30</v>
      </c>
      <c r="Q160" s="7" t="s">
        <v>145</v>
      </c>
      <c r="R160" s="7" t="s">
        <v>32</v>
      </c>
    </row>
    <row r="161" customFormat="false" ht="15" hidden="false" customHeight="false" outlineLevel="0" collapsed="false">
      <c r="A161" s="6" t="n">
        <v>162</v>
      </c>
      <c r="B161" s="7" t="s">
        <v>335</v>
      </c>
      <c r="C161" s="6" t="s">
        <v>28</v>
      </c>
      <c r="D161" s="6" t="n">
        <v>150</v>
      </c>
      <c r="E161" s="8" t="n">
        <v>234</v>
      </c>
      <c r="F161" s="7" t="s">
        <v>334</v>
      </c>
      <c r="G161" s="9" t="n">
        <v>120</v>
      </c>
      <c r="H161" s="9" t="n">
        <v>190</v>
      </c>
      <c r="I161" s="10" t="n">
        <f aca="false">IF(E161=0,0,(E161-H161)/E161)</f>
        <v>0.188034188034188</v>
      </c>
      <c r="J161" s="6" t="str">
        <f aca="false">IF(E161&lt;G161,"LOSS",IF(E161&lt;H161*1.1,"THIN / RISK",IF(E161&gt;H161*1.8,"OVERPRICED?","OK")))</f>
        <v>OK</v>
      </c>
      <c r="K161" s="8" t="n">
        <f aca="false">IF(J161="OVERPRICED?",ROUND(H161*1.35,-1),MAX(E161,ROUND(H161*(1+$E$3),-1)))</f>
        <v>234</v>
      </c>
      <c r="L161" s="8" t="n">
        <f aca="false">D161*E161</f>
        <v>35100</v>
      </c>
      <c r="M161" s="8" t="n">
        <f aca="false">D161*K161</f>
        <v>35100</v>
      </c>
      <c r="N161" s="8" t="n">
        <f aca="false">D161*H161</f>
        <v>28500</v>
      </c>
      <c r="O161" s="6" t="str">
        <f aca="false">IF(ISNUMBER(SEARCH(C161,F161)),"","YES")</f>
        <v>YES</v>
      </c>
      <c r="P161" s="6" t="s">
        <v>30</v>
      </c>
      <c r="Q161" s="7" t="s">
        <v>145</v>
      </c>
      <c r="R161" s="7" t="s">
        <v>32</v>
      </c>
    </row>
    <row r="162" customFormat="false" ht="32.8" hidden="false" customHeight="false" outlineLevel="0" collapsed="false">
      <c r="A162" s="6" t="n">
        <v>164</v>
      </c>
      <c r="B162" s="7" t="s">
        <v>336</v>
      </c>
      <c r="C162" s="6" t="s">
        <v>22</v>
      </c>
      <c r="D162" s="6" t="n">
        <v>40</v>
      </c>
      <c r="E162" s="8" t="n">
        <v>1209</v>
      </c>
      <c r="F162" s="7" t="s">
        <v>337</v>
      </c>
      <c r="G162" s="9" t="n">
        <v>1450</v>
      </c>
      <c r="H162" s="9" t="n">
        <v>1450</v>
      </c>
      <c r="I162" s="10" t="n">
        <f aca="false">IF(E162=0,0,(E162-H162)/E162)</f>
        <v>-0.19933829611249</v>
      </c>
      <c r="J162" s="6" t="str">
        <f aca="false">IF(E162&lt;G162,"LOSS",IF(E162&lt;H162*1.1,"THIN / RISK",IF(E162&gt;H162*1.8,"OVERPRICED?","OK")))</f>
        <v>LOSS</v>
      </c>
      <c r="K162" s="8" t="n">
        <f aca="false">IF(J162="OVERPRICED?",ROUND(H162*1.35,-1),MAX(E162,ROUND(H162*(1+$E$3),-1)))</f>
        <v>1670</v>
      </c>
      <c r="L162" s="8" t="n">
        <f aca="false">D162*E162</f>
        <v>48360</v>
      </c>
      <c r="M162" s="8" t="n">
        <f aca="false">D162*K162</f>
        <v>66800</v>
      </c>
      <c r="N162" s="8" t="n">
        <f aca="false">D162*H162</f>
        <v>58000</v>
      </c>
      <c r="O162" s="6" t="str">
        <f aca="false">IF(ISNUMBER(SEARCH(C162,F162)),"","YES")</f>
        <v>YES</v>
      </c>
      <c r="P162" s="6" t="s">
        <v>24</v>
      </c>
      <c r="Q162" s="7" t="s">
        <v>338</v>
      </c>
      <c r="R162" s="7" t="s">
        <v>26</v>
      </c>
    </row>
    <row r="163" customFormat="false" ht="32.8" hidden="false" customHeight="false" outlineLevel="0" collapsed="false">
      <c r="A163" s="6" t="n">
        <v>165</v>
      </c>
      <c r="B163" s="7" t="s">
        <v>339</v>
      </c>
      <c r="C163" s="6" t="s">
        <v>22</v>
      </c>
      <c r="D163" s="6" t="n">
        <v>40</v>
      </c>
      <c r="E163" s="8" t="n">
        <v>1209</v>
      </c>
      <c r="F163" s="7" t="s">
        <v>337</v>
      </c>
      <c r="G163" s="9" t="n">
        <v>2248</v>
      </c>
      <c r="H163" s="9" t="n">
        <v>2248</v>
      </c>
      <c r="I163" s="10" t="n">
        <f aca="false">IF(E163=0,0,(E163-H163)/E163)</f>
        <v>-0.859387923904053</v>
      </c>
      <c r="J163" s="6" t="str">
        <f aca="false">IF(E163&lt;G163,"LOSS",IF(E163&lt;H163*1.1,"THIN / RISK",IF(E163&gt;H163*1.8,"OVERPRICED?","OK")))</f>
        <v>LOSS</v>
      </c>
      <c r="K163" s="8" t="n">
        <f aca="false">IF(J163="OVERPRICED?",ROUND(H163*1.35,-1),MAX(E163,ROUND(H163*(1+$E$3),-1)))</f>
        <v>2590</v>
      </c>
      <c r="L163" s="8" t="n">
        <f aca="false">D163*E163</f>
        <v>48360</v>
      </c>
      <c r="M163" s="8" t="n">
        <f aca="false">D163*K163</f>
        <v>103600</v>
      </c>
      <c r="N163" s="8" t="n">
        <f aca="false">D163*H163</f>
        <v>89920</v>
      </c>
      <c r="O163" s="6" t="str">
        <f aca="false">IF(ISNUMBER(SEARCH(C163,F163)),"","YES")</f>
        <v>YES</v>
      </c>
      <c r="P163" s="6" t="s">
        <v>24</v>
      </c>
      <c r="Q163" s="7" t="s">
        <v>340</v>
      </c>
      <c r="R163" s="7" t="s">
        <v>26</v>
      </c>
    </row>
    <row r="164" customFormat="false" ht="22.35" hidden="false" customHeight="false" outlineLevel="0" collapsed="false">
      <c r="A164" s="6" t="n">
        <v>166</v>
      </c>
      <c r="B164" s="7" t="s">
        <v>341</v>
      </c>
      <c r="C164" s="6" t="s">
        <v>22</v>
      </c>
      <c r="D164" s="6" t="n">
        <v>20</v>
      </c>
      <c r="E164" s="8" t="n">
        <v>3022</v>
      </c>
      <c r="F164" s="7" t="s">
        <v>342</v>
      </c>
      <c r="G164" s="9" t="n">
        <v>2325</v>
      </c>
      <c r="H164" s="9" t="n">
        <v>2325</v>
      </c>
      <c r="I164" s="10" t="n">
        <f aca="false">IF(E164=0,0,(E164-H164)/E164)</f>
        <v>0.230641958967571</v>
      </c>
      <c r="J164" s="6" t="str">
        <f aca="false">IF(E164&lt;G164,"LOSS",IF(E164&lt;H164*1.1,"THIN / RISK",IF(E164&gt;H164*1.8,"OVERPRICED?","OK")))</f>
        <v>OK</v>
      </c>
      <c r="K164" s="8" t="n">
        <f aca="false">IF(J164="OVERPRICED?",ROUND(H164*1.35,-1),MAX(E164,ROUND(H164*(1+$E$3),-1)))</f>
        <v>3022</v>
      </c>
      <c r="L164" s="8" t="n">
        <f aca="false">D164*E164</f>
        <v>60440</v>
      </c>
      <c r="M164" s="8" t="n">
        <f aca="false">D164*K164</f>
        <v>60440</v>
      </c>
      <c r="N164" s="8" t="n">
        <f aca="false">D164*H164</f>
        <v>46500</v>
      </c>
      <c r="O164" s="6" t="str">
        <f aca="false">IF(ISNUMBER(SEARCH(C164,F164)),"","YES")</f>
        <v>YES</v>
      </c>
      <c r="P164" s="6" t="s">
        <v>24</v>
      </c>
      <c r="Q164" s="7" t="s">
        <v>343</v>
      </c>
      <c r="R164" s="7" t="s">
        <v>26</v>
      </c>
    </row>
    <row r="165" customFormat="false" ht="22.35" hidden="false" customHeight="false" outlineLevel="0" collapsed="false">
      <c r="A165" s="6" t="n">
        <v>167</v>
      </c>
      <c r="B165" s="7" t="s">
        <v>344</v>
      </c>
      <c r="C165" s="6" t="s">
        <v>22</v>
      </c>
      <c r="D165" s="6" t="n">
        <v>40</v>
      </c>
      <c r="E165" s="8" t="n">
        <v>6240</v>
      </c>
      <c r="F165" s="7" t="s">
        <v>345</v>
      </c>
      <c r="G165" s="9" t="n">
        <v>4400</v>
      </c>
      <c r="H165" s="9" t="n">
        <v>4400</v>
      </c>
      <c r="I165" s="10" t="n">
        <f aca="false">IF(E165=0,0,(E165-H165)/E165)</f>
        <v>0.294871794871795</v>
      </c>
      <c r="J165" s="6" t="str">
        <f aca="false">IF(E165&lt;G165,"LOSS",IF(E165&lt;H165*1.1,"THIN / RISK",IF(E165&gt;H165*1.8,"OVERPRICED?","OK")))</f>
        <v>OK</v>
      </c>
      <c r="K165" s="8" t="n">
        <f aca="false">IF(J165="OVERPRICED?",ROUND(H165*1.35,-1),MAX(E165,ROUND(H165*(1+$E$3),-1)))</f>
        <v>6240</v>
      </c>
      <c r="L165" s="8" t="n">
        <f aca="false">D165*E165</f>
        <v>249600</v>
      </c>
      <c r="M165" s="8" t="n">
        <f aca="false">D165*K165</f>
        <v>249600</v>
      </c>
      <c r="N165" s="8" t="n">
        <f aca="false">D165*H165</f>
        <v>176000</v>
      </c>
      <c r="O165" s="6" t="str">
        <f aca="false">IF(ISNUMBER(SEARCH(C165,F165)),"","YES")</f>
        <v>YES</v>
      </c>
      <c r="P165" s="6" t="s">
        <v>24</v>
      </c>
      <c r="Q165" s="7" t="s">
        <v>346</v>
      </c>
      <c r="R165" s="7" t="s">
        <v>26</v>
      </c>
    </row>
    <row r="166" customFormat="false" ht="22.35" hidden="false" customHeight="false" outlineLevel="0" collapsed="false">
      <c r="A166" s="6" t="n">
        <v>168</v>
      </c>
      <c r="B166" s="7" t="s">
        <v>347</v>
      </c>
      <c r="C166" s="6" t="s">
        <v>22</v>
      </c>
      <c r="D166" s="6" t="n">
        <v>20</v>
      </c>
      <c r="E166" s="8" t="n">
        <v>7150</v>
      </c>
      <c r="F166" s="7" t="s">
        <v>345</v>
      </c>
      <c r="G166" s="9" t="n">
        <v>4400</v>
      </c>
      <c r="H166" s="9" t="n">
        <v>4400</v>
      </c>
      <c r="I166" s="10" t="n">
        <f aca="false">IF(E166=0,0,(E166-H166)/E166)</f>
        <v>0.384615384615385</v>
      </c>
      <c r="J166" s="6" t="str">
        <f aca="false">IF(E166&lt;G166,"LOSS",IF(E166&lt;H166*1.1,"THIN / RISK",IF(E166&gt;H166*1.8,"OVERPRICED?","OK")))</f>
        <v>OK</v>
      </c>
      <c r="K166" s="8" t="n">
        <f aca="false">IF(J166="OVERPRICED?",ROUND(H166*1.35,-1),MAX(E166,ROUND(H166*(1+$E$3),-1)))</f>
        <v>7150</v>
      </c>
      <c r="L166" s="8" t="n">
        <f aca="false">D166*E166</f>
        <v>143000</v>
      </c>
      <c r="M166" s="8" t="n">
        <f aca="false">D166*K166</f>
        <v>143000</v>
      </c>
      <c r="N166" s="8" t="n">
        <f aca="false">D166*H166</f>
        <v>88000</v>
      </c>
      <c r="O166" s="6" t="str">
        <f aca="false">IF(ISNUMBER(SEARCH(C166,F166)),"","YES")</f>
        <v>YES</v>
      </c>
      <c r="P166" s="6" t="s">
        <v>24</v>
      </c>
      <c r="Q166" s="7" t="s">
        <v>348</v>
      </c>
      <c r="R166" s="7" t="s">
        <v>26</v>
      </c>
    </row>
    <row r="167" customFormat="false" ht="22.35" hidden="false" customHeight="false" outlineLevel="0" collapsed="false">
      <c r="A167" s="6" t="n">
        <v>177</v>
      </c>
      <c r="B167" s="7" t="s">
        <v>349</v>
      </c>
      <c r="C167" s="6" t="s">
        <v>28</v>
      </c>
      <c r="D167" s="6" t="n">
        <v>3</v>
      </c>
      <c r="E167" s="8" t="n">
        <v>5850</v>
      </c>
      <c r="F167" s="7" t="s">
        <v>157</v>
      </c>
      <c r="G167" s="9" t="n">
        <v>794</v>
      </c>
      <c r="H167" s="9" t="n">
        <v>794</v>
      </c>
      <c r="I167" s="10" t="n">
        <f aca="false">IF(E167=0,0,(E167-H167)/E167)</f>
        <v>0.864273504273504</v>
      </c>
      <c r="J167" s="6" t="str">
        <f aca="false">IF(E167&lt;G167,"LOSS",IF(E167&lt;H167*1.1,"THIN / RISK",IF(E167&gt;H167*1.8,"OVERPRICED?","OK")))</f>
        <v>OVERPRICED?</v>
      </c>
      <c r="K167" s="8" t="n">
        <f aca="false">IF(J167="OVERPRICED?",ROUND(H167*1.35,-1),MAX(E167,ROUND(H167*(1+$E$3),-1)))</f>
        <v>1070</v>
      </c>
      <c r="L167" s="8" t="n">
        <f aca="false">D167*E167</f>
        <v>17550</v>
      </c>
      <c r="M167" s="8" t="n">
        <f aca="false">D167*K167</f>
        <v>3210</v>
      </c>
      <c r="N167" s="8" t="n">
        <f aca="false">D167*H167</f>
        <v>2382</v>
      </c>
      <c r="O167" s="6" t="str">
        <f aca="false">IF(ISNUMBER(SEARCH(C167,F167)),"","YES")</f>
        <v>YES</v>
      </c>
      <c r="P167" s="6" t="s">
        <v>24</v>
      </c>
      <c r="Q167" s="7" t="s">
        <v>350</v>
      </c>
      <c r="R167" s="7" t="s">
        <v>26</v>
      </c>
    </row>
    <row r="168" customFormat="false" ht="15" hidden="false" customHeight="false" outlineLevel="0" collapsed="false">
      <c r="A168" s="6" t="n">
        <v>179</v>
      </c>
      <c r="B168" s="7" t="s">
        <v>351</v>
      </c>
      <c r="C168" s="6" t="s">
        <v>28</v>
      </c>
      <c r="D168" s="6" t="n">
        <v>1</v>
      </c>
      <c r="E168" s="8" t="n">
        <v>23400</v>
      </c>
      <c r="F168" s="7" t="s">
        <v>223</v>
      </c>
      <c r="G168" s="9" t="n">
        <v>20000</v>
      </c>
      <c r="H168" s="9" t="n">
        <v>26000</v>
      </c>
      <c r="I168" s="10" t="n">
        <f aca="false">IF(E168=0,0,(E168-H168)/E168)</f>
        <v>-0.111111111111111</v>
      </c>
      <c r="J168" s="6" t="str">
        <f aca="false">IF(E168&lt;G168,"LOSS",IF(E168&lt;H168*1.1,"THIN / RISK",IF(E168&gt;H168*1.8,"OVERPRICED?","OK")))</f>
        <v>THIN / RISK</v>
      </c>
      <c r="K168" s="8" t="n">
        <f aca="false">IF(J168="OVERPRICED?",ROUND(H168*1.35,-1),MAX(E168,ROUND(H168*(1+$E$3),-1)))</f>
        <v>29900</v>
      </c>
      <c r="L168" s="8" t="n">
        <f aca="false">D168*E168</f>
        <v>23400</v>
      </c>
      <c r="M168" s="8" t="n">
        <f aca="false">D168*K168</f>
        <v>29900</v>
      </c>
      <c r="N168" s="8" t="n">
        <f aca="false">D168*H168</f>
        <v>26000</v>
      </c>
      <c r="O168" s="6" t="str">
        <f aca="false">IF(ISNUMBER(SEARCH(C168,F168)),"","YES")</f>
        <v>YES</v>
      </c>
      <c r="P168" s="6" t="s">
        <v>30</v>
      </c>
      <c r="Q168" s="7" t="s">
        <v>145</v>
      </c>
      <c r="R168" s="7" t="s">
        <v>32</v>
      </c>
    </row>
    <row r="169" customFormat="false" ht="15" hidden="false" customHeight="false" outlineLevel="0" collapsed="false">
      <c r="A169" s="6" t="n">
        <v>180</v>
      </c>
      <c r="B169" s="7" t="s">
        <v>352</v>
      </c>
      <c r="C169" s="6" t="s">
        <v>28</v>
      </c>
      <c r="D169" s="6" t="n">
        <v>1</v>
      </c>
      <c r="E169" s="8" t="n">
        <v>15600</v>
      </c>
      <c r="F169" s="7" t="s">
        <v>223</v>
      </c>
      <c r="G169" s="9" t="n">
        <v>14000</v>
      </c>
      <c r="H169" s="9" t="n">
        <v>18000</v>
      </c>
      <c r="I169" s="10" t="n">
        <f aca="false">IF(E169=0,0,(E169-H169)/E169)</f>
        <v>-0.153846153846154</v>
      </c>
      <c r="J169" s="6" t="str">
        <f aca="false">IF(E169&lt;G169,"LOSS",IF(E169&lt;H169*1.1,"THIN / RISK",IF(E169&gt;H169*1.8,"OVERPRICED?","OK")))</f>
        <v>THIN / RISK</v>
      </c>
      <c r="K169" s="8" t="n">
        <f aca="false">IF(J169="OVERPRICED?",ROUND(H169*1.35,-1),MAX(E169,ROUND(H169*(1+$E$3),-1)))</f>
        <v>20700</v>
      </c>
      <c r="L169" s="8" t="n">
        <f aca="false">D169*E169</f>
        <v>15600</v>
      </c>
      <c r="M169" s="8" t="n">
        <f aca="false">D169*K169</f>
        <v>20700</v>
      </c>
      <c r="N169" s="8" t="n">
        <f aca="false">D169*H169</f>
        <v>18000</v>
      </c>
      <c r="O169" s="6" t="str">
        <f aca="false">IF(ISNUMBER(SEARCH(C169,F169)),"","YES")</f>
        <v>YES</v>
      </c>
      <c r="P169" s="6" t="s">
        <v>30</v>
      </c>
      <c r="Q169" s="7" t="s">
        <v>145</v>
      </c>
      <c r="R169" s="7" t="s">
        <v>32</v>
      </c>
    </row>
    <row r="170" customFormat="false" ht="15" hidden="false" customHeight="false" outlineLevel="0" collapsed="false">
      <c r="A170" s="6" t="n">
        <v>181</v>
      </c>
      <c r="B170" s="7" t="s">
        <v>353</v>
      </c>
      <c r="C170" s="6" t="s">
        <v>28</v>
      </c>
      <c r="D170" s="6" t="n">
        <v>1</v>
      </c>
      <c r="E170" s="8" t="n">
        <v>33800</v>
      </c>
      <c r="F170" s="7" t="s">
        <v>223</v>
      </c>
      <c r="G170" s="9" t="n">
        <v>28000</v>
      </c>
      <c r="H170" s="9" t="n">
        <v>36000</v>
      </c>
      <c r="I170" s="10" t="n">
        <f aca="false">IF(E170=0,0,(E170-H170)/E170)</f>
        <v>-0.0650887573964497</v>
      </c>
      <c r="J170" s="6" t="str">
        <f aca="false">IF(E170&lt;G170,"LOSS",IF(E170&lt;H170*1.1,"THIN / RISK",IF(E170&gt;H170*1.8,"OVERPRICED?","OK")))</f>
        <v>THIN / RISK</v>
      </c>
      <c r="K170" s="8" t="n">
        <f aca="false">IF(J170="OVERPRICED?",ROUND(H170*1.35,-1),MAX(E170,ROUND(H170*(1+$E$3),-1)))</f>
        <v>41400</v>
      </c>
      <c r="L170" s="8" t="n">
        <f aca="false">D170*E170</f>
        <v>33800</v>
      </c>
      <c r="M170" s="8" t="n">
        <f aca="false">D170*K170</f>
        <v>41400</v>
      </c>
      <c r="N170" s="8" t="n">
        <f aca="false">D170*H170</f>
        <v>36000</v>
      </c>
      <c r="O170" s="6" t="str">
        <f aca="false">IF(ISNUMBER(SEARCH(C170,F170)),"","YES")</f>
        <v>YES</v>
      </c>
      <c r="P170" s="6" t="s">
        <v>30</v>
      </c>
      <c r="Q170" s="7" t="s">
        <v>145</v>
      </c>
      <c r="R170" s="7" t="s">
        <v>32</v>
      </c>
    </row>
    <row r="171" customFormat="false" ht="15" hidden="false" customHeight="false" outlineLevel="0" collapsed="false">
      <c r="A171" s="6" t="n">
        <v>182</v>
      </c>
      <c r="B171" s="7" t="s">
        <v>354</v>
      </c>
      <c r="C171" s="6" t="s">
        <v>28</v>
      </c>
      <c r="D171" s="6" t="n">
        <v>1</v>
      </c>
      <c r="E171" s="8" t="n">
        <v>23400</v>
      </c>
      <c r="F171" s="7" t="s">
        <v>223</v>
      </c>
      <c r="G171" s="9" t="n">
        <v>20000</v>
      </c>
      <c r="H171" s="9" t="n">
        <v>26000</v>
      </c>
      <c r="I171" s="10" t="n">
        <f aca="false">IF(E171=0,0,(E171-H171)/E171)</f>
        <v>-0.111111111111111</v>
      </c>
      <c r="J171" s="6" t="str">
        <f aca="false">IF(E171&lt;G171,"LOSS",IF(E171&lt;H171*1.1,"THIN / RISK",IF(E171&gt;H171*1.8,"OVERPRICED?","OK")))</f>
        <v>THIN / RISK</v>
      </c>
      <c r="K171" s="8" t="n">
        <f aca="false">IF(J171="OVERPRICED?",ROUND(H171*1.35,-1),MAX(E171,ROUND(H171*(1+$E$3),-1)))</f>
        <v>29900</v>
      </c>
      <c r="L171" s="8" t="n">
        <f aca="false">D171*E171</f>
        <v>23400</v>
      </c>
      <c r="M171" s="8" t="n">
        <f aca="false">D171*K171</f>
        <v>29900</v>
      </c>
      <c r="N171" s="8" t="n">
        <f aca="false">D171*H171</f>
        <v>26000</v>
      </c>
      <c r="O171" s="6" t="str">
        <f aca="false">IF(ISNUMBER(SEARCH(C171,F171)),"","YES")</f>
        <v>YES</v>
      </c>
      <c r="P171" s="6" t="s">
        <v>30</v>
      </c>
      <c r="Q171" s="7" t="s">
        <v>145</v>
      </c>
      <c r="R171" s="7" t="s">
        <v>32</v>
      </c>
    </row>
    <row r="172" customFormat="false" ht="15" hidden="false" customHeight="false" outlineLevel="0" collapsed="false">
      <c r="A172" s="6" t="n">
        <v>183</v>
      </c>
      <c r="B172" s="7" t="s">
        <v>355</v>
      </c>
      <c r="C172" s="6" t="s">
        <v>28</v>
      </c>
      <c r="D172" s="6" t="n">
        <v>3</v>
      </c>
      <c r="E172" s="8" t="n">
        <v>2860</v>
      </c>
      <c r="F172" s="7" t="s">
        <v>122</v>
      </c>
      <c r="G172" s="9" t="n">
        <v>1800</v>
      </c>
      <c r="H172" s="9" t="n">
        <v>2500</v>
      </c>
      <c r="I172" s="10" t="n">
        <f aca="false">IF(E172=0,0,(E172-H172)/E172)</f>
        <v>0.125874125874126</v>
      </c>
      <c r="J172" s="6" t="str">
        <f aca="false">IF(E172&lt;G172,"LOSS",IF(E172&lt;H172*1.1,"THIN / RISK",IF(E172&gt;H172*1.8,"OVERPRICED?","OK")))</f>
        <v>OK</v>
      </c>
      <c r="K172" s="8" t="n">
        <f aca="false">IF(J172="OVERPRICED?",ROUND(H172*1.35,-1),MAX(E172,ROUND(H172*(1+$E$3),-1)))</f>
        <v>2880</v>
      </c>
      <c r="L172" s="8" t="n">
        <f aca="false">D172*E172</f>
        <v>8580</v>
      </c>
      <c r="M172" s="8" t="n">
        <f aca="false">D172*K172</f>
        <v>8640</v>
      </c>
      <c r="N172" s="8" t="n">
        <f aca="false">D172*H172</f>
        <v>7500</v>
      </c>
      <c r="O172" s="6" t="str">
        <f aca="false">IF(ISNUMBER(SEARCH(C172,F172)),"","YES")</f>
        <v>YES</v>
      </c>
      <c r="P172" s="6" t="s">
        <v>30</v>
      </c>
      <c r="Q172" s="7" t="s">
        <v>145</v>
      </c>
      <c r="R172" s="7" t="s">
        <v>32</v>
      </c>
    </row>
    <row r="173" customFormat="false" ht="15" hidden="false" customHeight="false" outlineLevel="0" collapsed="false">
      <c r="A173" s="6" t="n">
        <v>184</v>
      </c>
      <c r="B173" s="7" t="s">
        <v>356</v>
      </c>
      <c r="C173" s="6" t="s">
        <v>28</v>
      </c>
      <c r="D173" s="6" t="n">
        <v>3</v>
      </c>
      <c r="E173" s="8" t="n">
        <v>3250</v>
      </c>
      <c r="F173" s="7" t="s">
        <v>122</v>
      </c>
      <c r="G173" s="9" t="n">
        <v>2100</v>
      </c>
      <c r="H173" s="9" t="n">
        <v>2900</v>
      </c>
      <c r="I173" s="10" t="n">
        <f aca="false">IF(E173=0,0,(E173-H173)/E173)</f>
        <v>0.107692307692308</v>
      </c>
      <c r="J173" s="6" t="str">
        <f aca="false">IF(E173&lt;G173,"LOSS",IF(E173&lt;H173*1.1,"THIN / RISK",IF(E173&gt;H173*1.8,"OVERPRICED?","OK")))</f>
        <v>OK</v>
      </c>
      <c r="K173" s="8" t="n">
        <f aca="false">IF(J173="OVERPRICED?",ROUND(H173*1.35,-1),MAX(E173,ROUND(H173*(1+$E$3),-1)))</f>
        <v>3340</v>
      </c>
      <c r="L173" s="8" t="n">
        <f aca="false">D173*E173</f>
        <v>9750</v>
      </c>
      <c r="M173" s="8" t="n">
        <f aca="false">D173*K173</f>
        <v>10020</v>
      </c>
      <c r="N173" s="8" t="n">
        <f aca="false">D173*H173</f>
        <v>8700</v>
      </c>
      <c r="O173" s="6" t="str">
        <f aca="false">IF(ISNUMBER(SEARCH(C173,F173)),"","YES")</f>
        <v>YES</v>
      </c>
      <c r="P173" s="6" t="s">
        <v>30</v>
      </c>
      <c r="Q173" s="7" t="s">
        <v>145</v>
      </c>
      <c r="R173" s="7" t="s">
        <v>32</v>
      </c>
    </row>
    <row r="174" customFormat="false" ht="15" hidden="false" customHeight="false" outlineLevel="0" collapsed="false">
      <c r="A174" s="6" t="n">
        <v>185</v>
      </c>
      <c r="B174" s="7" t="s">
        <v>357</v>
      </c>
      <c r="C174" s="6" t="s">
        <v>28</v>
      </c>
      <c r="D174" s="6" t="n">
        <v>3</v>
      </c>
      <c r="E174" s="8" t="n">
        <v>3900</v>
      </c>
      <c r="F174" s="7" t="s">
        <v>122</v>
      </c>
      <c r="G174" s="9" t="n">
        <v>2600</v>
      </c>
      <c r="H174" s="9" t="n">
        <v>3500</v>
      </c>
      <c r="I174" s="10" t="n">
        <f aca="false">IF(E174=0,0,(E174-H174)/E174)</f>
        <v>0.102564102564103</v>
      </c>
      <c r="J174" s="6" t="str">
        <f aca="false">IF(E174&lt;G174,"LOSS",IF(E174&lt;H174*1.1,"THIN / RISK",IF(E174&gt;H174*1.8,"OVERPRICED?","OK")))</f>
        <v>OK</v>
      </c>
      <c r="K174" s="8" t="n">
        <f aca="false">IF(J174="OVERPRICED?",ROUND(H174*1.35,-1),MAX(E174,ROUND(H174*(1+$E$3),-1)))</f>
        <v>4030</v>
      </c>
      <c r="L174" s="8" t="n">
        <f aca="false">D174*E174</f>
        <v>11700</v>
      </c>
      <c r="M174" s="8" t="n">
        <f aca="false">D174*K174</f>
        <v>12090</v>
      </c>
      <c r="N174" s="8" t="n">
        <f aca="false">D174*H174</f>
        <v>10500</v>
      </c>
      <c r="O174" s="6" t="str">
        <f aca="false">IF(ISNUMBER(SEARCH(C174,F174)),"","YES")</f>
        <v>YES</v>
      </c>
      <c r="P174" s="6" t="s">
        <v>30</v>
      </c>
      <c r="Q174" s="7" t="s">
        <v>145</v>
      </c>
      <c r="R174" s="7" t="s">
        <v>32</v>
      </c>
    </row>
    <row r="175" customFormat="false" ht="15" hidden="false" customHeight="false" outlineLevel="0" collapsed="false">
      <c r="A175" s="6" t="n">
        <v>186</v>
      </c>
      <c r="B175" s="7" t="s">
        <v>358</v>
      </c>
      <c r="C175" s="6" t="s">
        <v>28</v>
      </c>
      <c r="D175" s="6" t="n">
        <v>3</v>
      </c>
      <c r="E175" s="8" t="n">
        <v>4550</v>
      </c>
      <c r="F175" s="7" t="s">
        <v>122</v>
      </c>
      <c r="G175" s="9" t="n">
        <v>3300</v>
      </c>
      <c r="H175" s="9" t="n">
        <v>4300</v>
      </c>
      <c r="I175" s="10" t="n">
        <f aca="false">IF(E175=0,0,(E175-H175)/E175)</f>
        <v>0.0549450549450549</v>
      </c>
      <c r="J175" s="6" t="str">
        <f aca="false">IF(E175&lt;G175,"LOSS",IF(E175&lt;H175*1.1,"THIN / RISK",IF(E175&gt;H175*1.8,"OVERPRICED?","OK")))</f>
        <v>THIN / RISK</v>
      </c>
      <c r="K175" s="8" t="n">
        <f aca="false">IF(J175="OVERPRICED?",ROUND(H175*1.35,-1),MAX(E175,ROUND(H175*(1+$E$3),-1)))</f>
        <v>4950</v>
      </c>
      <c r="L175" s="8" t="n">
        <f aca="false">D175*E175</f>
        <v>13650</v>
      </c>
      <c r="M175" s="8" t="n">
        <f aca="false">D175*K175</f>
        <v>14850</v>
      </c>
      <c r="N175" s="8" t="n">
        <f aca="false">D175*H175</f>
        <v>12900</v>
      </c>
      <c r="O175" s="6" t="str">
        <f aca="false">IF(ISNUMBER(SEARCH(C175,F175)),"","YES")</f>
        <v>YES</v>
      </c>
      <c r="P175" s="6" t="s">
        <v>30</v>
      </c>
      <c r="Q175" s="7" t="s">
        <v>145</v>
      </c>
      <c r="R175" s="7" t="s">
        <v>32</v>
      </c>
    </row>
    <row r="176" customFormat="false" ht="15" hidden="false" customHeight="false" outlineLevel="0" collapsed="false">
      <c r="A176" s="6" t="n">
        <v>187</v>
      </c>
      <c r="B176" s="7" t="s">
        <v>359</v>
      </c>
      <c r="C176" s="6" t="s">
        <v>28</v>
      </c>
      <c r="D176" s="6" t="n">
        <v>2</v>
      </c>
      <c r="E176" s="8" t="n">
        <v>7150</v>
      </c>
      <c r="F176" s="7" t="s">
        <v>122</v>
      </c>
      <c r="G176" s="9" t="n">
        <v>5500</v>
      </c>
      <c r="H176" s="9" t="n">
        <v>7000</v>
      </c>
      <c r="I176" s="10" t="n">
        <f aca="false">IF(E176=0,0,(E176-H176)/E176)</f>
        <v>0.020979020979021</v>
      </c>
      <c r="J176" s="6" t="str">
        <f aca="false">IF(E176&lt;G176,"LOSS",IF(E176&lt;H176*1.1,"THIN / RISK",IF(E176&gt;H176*1.8,"OVERPRICED?","OK")))</f>
        <v>THIN / RISK</v>
      </c>
      <c r="K176" s="8" t="n">
        <f aca="false">IF(J176="OVERPRICED?",ROUND(H176*1.35,-1),MAX(E176,ROUND(H176*(1+$E$3),-1)))</f>
        <v>8050</v>
      </c>
      <c r="L176" s="8" t="n">
        <f aca="false">D176*E176</f>
        <v>14300</v>
      </c>
      <c r="M176" s="8" t="n">
        <f aca="false">D176*K176</f>
        <v>16100</v>
      </c>
      <c r="N176" s="8" t="n">
        <f aca="false">D176*H176</f>
        <v>14000</v>
      </c>
      <c r="O176" s="6" t="str">
        <f aca="false">IF(ISNUMBER(SEARCH(C176,F176)),"","YES")</f>
        <v>YES</v>
      </c>
      <c r="P176" s="6" t="s">
        <v>30</v>
      </c>
      <c r="Q176" s="7" t="s">
        <v>145</v>
      </c>
      <c r="R176" s="7" t="s">
        <v>32</v>
      </c>
    </row>
    <row r="177" customFormat="false" ht="15" hidden="false" customHeight="false" outlineLevel="0" collapsed="false">
      <c r="A177" s="6" t="n">
        <v>188</v>
      </c>
      <c r="B177" s="7" t="s">
        <v>360</v>
      </c>
      <c r="C177" s="6" t="s">
        <v>28</v>
      </c>
      <c r="D177" s="6" t="n">
        <v>1</v>
      </c>
      <c r="E177" s="8" t="n">
        <v>8450</v>
      </c>
      <c r="F177" s="7" t="s">
        <v>122</v>
      </c>
      <c r="G177" s="9" t="n">
        <v>7000</v>
      </c>
      <c r="H177" s="9" t="n">
        <v>8800</v>
      </c>
      <c r="I177" s="10" t="n">
        <f aca="false">IF(E177=0,0,(E177-H177)/E177)</f>
        <v>-0.0414201183431953</v>
      </c>
      <c r="J177" s="6" t="str">
        <f aca="false">IF(E177&lt;G177,"LOSS",IF(E177&lt;H177*1.1,"THIN / RISK",IF(E177&gt;H177*1.8,"OVERPRICED?","OK")))</f>
        <v>THIN / RISK</v>
      </c>
      <c r="K177" s="8" t="n">
        <f aca="false">IF(J177="OVERPRICED?",ROUND(H177*1.35,-1),MAX(E177,ROUND(H177*(1+$E$3),-1)))</f>
        <v>10120</v>
      </c>
      <c r="L177" s="8" t="n">
        <f aca="false">D177*E177</f>
        <v>8450</v>
      </c>
      <c r="M177" s="8" t="n">
        <f aca="false">D177*K177</f>
        <v>10120</v>
      </c>
      <c r="N177" s="8" t="n">
        <f aca="false">D177*H177</f>
        <v>8800</v>
      </c>
      <c r="O177" s="6" t="str">
        <f aca="false">IF(ISNUMBER(SEARCH(C177,F177)),"","YES")</f>
        <v>YES</v>
      </c>
      <c r="P177" s="6" t="s">
        <v>30</v>
      </c>
      <c r="Q177" s="7" t="s">
        <v>145</v>
      </c>
      <c r="R177" s="7" t="s">
        <v>32</v>
      </c>
    </row>
    <row r="178" customFormat="false" ht="15" hidden="false" customHeight="false" outlineLevel="0" collapsed="false">
      <c r="A178" s="6" t="n">
        <v>189</v>
      </c>
      <c r="B178" s="7" t="s">
        <v>361</v>
      </c>
      <c r="C178" s="6" t="s">
        <v>28</v>
      </c>
      <c r="D178" s="6" t="n">
        <v>1</v>
      </c>
      <c r="E178" s="8" t="n">
        <v>9750</v>
      </c>
      <c r="F178" s="7" t="s">
        <v>122</v>
      </c>
      <c r="G178" s="9" t="n">
        <v>8500</v>
      </c>
      <c r="H178" s="9" t="n">
        <v>10500</v>
      </c>
      <c r="I178" s="10" t="n">
        <f aca="false">IF(E178=0,0,(E178-H178)/E178)</f>
        <v>-0.0769230769230769</v>
      </c>
      <c r="J178" s="6" t="str">
        <f aca="false">IF(E178&lt;G178,"LOSS",IF(E178&lt;H178*1.1,"THIN / RISK",IF(E178&gt;H178*1.8,"OVERPRICED?","OK")))</f>
        <v>THIN / RISK</v>
      </c>
      <c r="K178" s="8" t="n">
        <f aca="false">IF(J178="OVERPRICED?",ROUND(H178*1.35,-1),MAX(E178,ROUND(H178*(1+$E$3),-1)))</f>
        <v>12080</v>
      </c>
      <c r="L178" s="8" t="n">
        <f aca="false">D178*E178</f>
        <v>9750</v>
      </c>
      <c r="M178" s="8" t="n">
        <f aca="false">D178*K178</f>
        <v>12080</v>
      </c>
      <c r="N178" s="8" t="n">
        <f aca="false">D178*H178</f>
        <v>10500</v>
      </c>
      <c r="O178" s="6" t="str">
        <f aca="false">IF(ISNUMBER(SEARCH(C178,F178)),"","YES")</f>
        <v>YES</v>
      </c>
      <c r="P178" s="6" t="s">
        <v>30</v>
      </c>
      <c r="Q178" s="7" t="s">
        <v>145</v>
      </c>
      <c r="R178" s="7" t="s">
        <v>32</v>
      </c>
    </row>
    <row r="179" customFormat="false" ht="15" hidden="false" customHeight="false" outlineLevel="0" collapsed="false">
      <c r="A179" s="6" t="n">
        <v>190</v>
      </c>
      <c r="B179" s="7" t="s">
        <v>362</v>
      </c>
      <c r="C179" s="6" t="s">
        <v>28</v>
      </c>
      <c r="D179" s="6" t="n">
        <v>2</v>
      </c>
      <c r="E179" s="8" t="n">
        <v>2340</v>
      </c>
      <c r="F179" s="7" t="s">
        <v>122</v>
      </c>
      <c r="G179" s="9" t="n">
        <v>1500</v>
      </c>
      <c r="H179" s="9" t="n">
        <v>2200</v>
      </c>
      <c r="I179" s="10" t="n">
        <f aca="false">IF(E179=0,0,(E179-H179)/E179)</f>
        <v>0.0598290598290598</v>
      </c>
      <c r="J179" s="6" t="str">
        <f aca="false">IF(E179&lt;G179,"LOSS",IF(E179&lt;H179*1.1,"THIN / RISK",IF(E179&gt;H179*1.8,"OVERPRICED?","OK")))</f>
        <v>THIN / RISK</v>
      </c>
      <c r="K179" s="8" t="n">
        <f aca="false">IF(J179="OVERPRICED?",ROUND(H179*1.35,-1),MAX(E179,ROUND(H179*(1+$E$3),-1)))</f>
        <v>2530</v>
      </c>
      <c r="L179" s="8" t="n">
        <f aca="false">D179*E179</f>
        <v>4680</v>
      </c>
      <c r="M179" s="8" t="n">
        <f aca="false">D179*K179</f>
        <v>5060</v>
      </c>
      <c r="N179" s="8" t="n">
        <f aca="false">D179*H179</f>
        <v>4400</v>
      </c>
      <c r="O179" s="6" t="str">
        <f aca="false">IF(ISNUMBER(SEARCH(C179,F179)),"","YES")</f>
        <v>YES</v>
      </c>
      <c r="P179" s="6" t="s">
        <v>30</v>
      </c>
      <c r="Q179" s="7" t="s">
        <v>145</v>
      </c>
      <c r="R179" s="7" t="s">
        <v>32</v>
      </c>
    </row>
    <row r="180" customFormat="false" ht="15" hidden="false" customHeight="false" outlineLevel="0" collapsed="false">
      <c r="A180" s="6" t="n">
        <v>191</v>
      </c>
      <c r="B180" s="7" t="s">
        <v>362</v>
      </c>
      <c r="C180" s="6" t="s">
        <v>28</v>
      </c>
      <c r="D180" s="6" t="n">
        <v>2</v>
      </c>
      <c r="E180" s="8" t="n">
        <v>3640</v>
      </c>
      <c r="F180" s="7" t="s">
        <v>122</v>
      </c>
      <c r="G180" s="9" t="n">
        <v>2300</v>
      </c>
      <c r="H180" s="9" t="n">
        <v>3200</v>
      </c>
      <c r="I180" s="10" t="n">
        <f aca="false">IF(E180=0,0,(E180-H180)/E180)</f>
        <v>0.120879120879121</v>
      </c>
      <c r="J180" s="6" t="str">
        <f aca="false">IF(E180&lt;G180,"LOSS",IF(E180&lt;H180*1.1,"THIN / RISK",IF(E180&gt;H180*1.8,"OVERPRICED?","OK")))</f>
        <v>OK</v>
      </c>
      <c r="K180" s="8" t="n">
        <f aca="false">IF(J180="OVERPRICED?",ROUND(H180*1.35,-1),MAX(E180,ROUND(H180*(1+$E$3),-1)))</f>
        <v>3680</v>
      </c>
      <c r="L180" s="8" t="n">
        <f aca="false">D180*E180</f>
        <v>7280</v>
      </c>
      <c r="M180" s="8" t="n">
        <f aca="false">D180*K180</f>
        <v>7360</v>
      </c>
      <c r="N180" s="8" t="n">
        <f aca="false">D180*H180</f>
        <v>6400</v>
      </c>
      <c r="O180" s="6" t="str">
        <f aca="false">IF(ISNUMBER(SEARCH(C180,F180)),"","YES")</f>
        <v>YES</v>
      </c>
      <c r="P180" s="6" t="s">
        <v>30</v>
      </c>
      <c r="Q180" s="7" t="s">
        <v>145</v>
      </c>
      <c r="R180" s="7" t="s">
        <v>32</v>
      </c>
    </row>
    <row r="181" customFormat="false" ht="15" hidden="false" customHeight="false" outlineLevel="0" collapsed="false">
      <c r="A181" s="6" t="n">
        <v>192</v>
      </c>
      <c r="B181" s="7" t="s">
        <v>363</v>
      </c>
      <c r="C181" s="6" t="s">
        <v>28</v>
      </c>
      <c r="D181" s="6" t="n">
        <v>3</v>
      </c>
      <c r="E181" s="8" t="n">
        <v>1950</v>
      </c>
      <c r="F181" s="7" t="s">
        <v>29</v>
      </c>
      <c r="G181" s="9" t="n">
        <v>1200</v>
      </c>
      <c r="H181" s="9" t="n">
        <v>1800</v>
      </c>
      <c r="I181" s="10" t="n">
        <f aca="false">IF(E181=0,0,(E181-H181)/E181)</f>
        <v>0.0769230769230769</v>
      </c>
      <c r="J181" s="6" t="str">
        <f aca="false">IF(E181&lt;G181,"LOSS",IF(E181&lt;H181*1.1,"THIN / RISK",IF(E181&gt;H181*1.8,"OVERPRICED?","OK")))</f>
        <v>THIN / RISK</v>
      </c>
      <c r="K181" s="8" t="n">
        <f aca="false">IF(J181="OVERPRICED?",ROUND(H181*1.35,-1),MAX(E181,ROUND(H181*(1+$E$3),-1)))</f>
        <v>2070</v>
      </c>
      <c r="L181" s="8" t="n">
        <f aca="false">D181*E181</f>
        <v>5850</v>
      </c>
      <c r="M181" s="8" t="n">
        <f aca="false">D181*K181</f>
        <v>6210</v>
      </c>
      <c r="N181" s="8" t="n">
        <f aca="false">D181*H181</f>
        <v>5400</v>
      </c>
      <c r="O181" s="6" t="str">
        <f aca="false">IF(ISNUMBER(SEARCH(C181,F181)),"","YES")</f>
        <v>YES</v>
      </c>
      <c r="P181" s="6" t="s">
        <v>30</v>
      </c>
      <c r="Q181" s="7" t="s">
        <v>145</v>
      </c>
      <c r="R181" s="7" t="s">
        <v>32</v>
      </c>
    </row>
    <row r="182" customFormat="false" ht="15" hidden="false" customHeight="false" outlineLevel="0" collapsed="false">
      <c r="A182" s="6" t="n">
        <v>193</v>
      </c>
      <c r="B182" s="7" t="s">
        <v>364</v>
      </c>
      <c r="C182" s="6" t="s">
        <v>28</v>
      </c>
      <c r="D182" s="6" t="n">
        <v>2</v>
      </c>
      <c r="E182" s="8" t="n">
        <v>5850</v>
      </c>
      <c r="F182" s="7" t="s">
        <v>29</v>
      </c>
      <c r="G182" s="9" t="n">
        <v>4000</v>
      </c>
      <c r="H182" s="9" t="n">
        <v>5500</v>
      </c>
      <c r="I182" s="10" t="n">
        <f aca="false">IF(E182=0,0,(E182-H182)/E182)</f>
        <v>0.0598290598290598</v>
      </c>
      <c r="J182" s="6" t="str">
        <f aca="false">IF(E182&lt;G182,"LOSS",IF(E182&lt;H182*1.1,"THIN / RISK",IF(E182&gt;H182*1.8,"OVERPRICED?","OK")))</f>
        <v>THIN / RISK</v>
      </c>
      <c r="K182" s="8" t="n">
        <f aca="false">IF(J182="OVERPRICED?",ROUND(H182*1.35,-1),MAX(E182,ROUND(H182*(1+$E$3),-1)))</f>
        <v>6330</v>
      </c>
      <c r="L182" s="8" t="n">
        <f aca="false">D182*E182</f>
        <v>11700</v>
      </c>
      <c r="M182" s="8" t="n">
        <f aca="false">D182*K182</f>
        <v>12660</v>
      </c>
      <c r="N182" s="8" t="n">
        <f aca="false">D182*H182</f>
        <v>11000</v>
      </c>
      <c r="O182" s="6" t="str">
        <f aca="false">IF(ISNUMBER(SEARCH(C182,F182)),"","YES")</f>
        <v>YES</v>
      </c>
      <c r="P182" s="6" t="s">
        <v>30</v>
      </c>
      <c r="Q182" s="7" t="s">
        <v>145</v>
      </c>
      <c r="R182" s="7" t="s">
        <v>32</v>
      </c>
    </row>
    <row r="183" customFormat="false" ht="15" hidden="false" customHeight="false" outlineLevel="0" collapsed="false">
      <c r="A183" s="6" t="n">
        <v>194</v>
      </c>
      <c r="B183" s="7" t="s">
        <v>365</v>
      </c>
      <c r="C183" s="6" t="s">
        <v>28</v>
      </c>
      <c r="D183" s="6" t="n">
        <v>3</v>
      </c>
      <c r="E183" s="8" t="n">
        <v>1950</v>
      </c>
      <c r="F183" s="7" t="s">
        <v>29</v>
      </c>
      <c r="G183" s="9" t="n">
        <v>1200</v>
      </c>
      <c r="H183" s="9" t="n">
        <v>1800</v>
      </c>
      <c r="I183" s="10" t="n">
        <f aca="false">IF(E183=0,0,(E183-H183)/E183)</f>
        <v>0.0769230769230769</v>
      </c>
      <c r="J183" s="6" t="str">
        <f aca="false">IF(E183&lt;G183,"LOSS",IF(E183&lt;H183*1.1,"THIN / RISK",IF(E183&gt;H183*1.8,"OVERPRICED?","OK")))</f>
        <v>THIN / RISK</v>
      </c>
      <c r="K183" s="8" t="n">
        <f aca="false">IF(J183="OVERPRICED?",ROUND(H183*1.35,-1),MAX(E183,ROUND(H183*(1+$E$3),-1)))</f>
        <v>2070</v>
      </c>
      <c r="L183" s="8" t="n">
        <f aca="false">D183*E183</f>
        <v>5850</v>
      </c>
      <c r="M183" s="8" t="n">
        <f aca="false">D183*K183</f>
        <v>6210</v>
      </c>
      <c r="N183" s="8" t="n">
        <f aca="false">D183*H183</f>
        <v>5400</v>
      </c>
      <c r="O183" s="6" t="str">
        <f aca="false">IF(ISNUMBER(SEARCH(C183,F183)),"","YES")</f>
        <v>YES</v>
      </c>
      <c r="P183" s="6" t="s">
        <v>30</v>
      </c>
      <c r="Q183" s="7" t="s">
        <v>145</v>
      </c>
      <c r="R183" s="7" t="s">
        <v>32</v>
      </c>
    </row>
    <row r="184" customFormat="false" ht="15" hidden="false" customHeight="false" outlineLevel="0" collapsed="false">
      <c r="A184" s="6" t="n">
        <v>195</v>
      </c>
      <c r="B184" s="7" t="s">
        <v>366</v>
      </c>
      <c r="C184" s="6" t="s">
        <v>28</v>
      </c>
      <c r="D184" s="6" t="n">
        <v>2</v>
      </c>
      <c r="E184" s="8" t="n">
        <v>5850</v>
      </c>
      <c r="F184" s="7" t="s">
        <v>29</v>
      </c>
      <c r="G184" s="9" t="n">
        <v>4000</v>
      </c>
      <c r="H184" s="9" t="n">
        <v>5500</v>
      </c>
      <c r="I184" s="10" t="n">
        <f aca="false">IF(E184=0,0,(E184-H184)/E184)</f>
        <v>0.0598290598290598</v>
      </c>
      <c r="J184" s="6" t="str">
        <f aca="false">IF(E184&lt;G184,"LOSS",IF(E184&lt;H184*1.1,"THIN / RISK",IF(E184&gt;H184*1.8,"OVERPRICED?","OK")))</f>
        <v>THIN / RISK</v>
      </c>
      <c r="K184" s="8" t="n">
        <f aca="false">IF(J184="OVERPRICED?",ROUND(H184*1.35,-1),MAX(E184,ROUND(H184*(1+$E$3),-1)))</f>
        <v>6330</v>
      </c>
      <c r="L184" s="8" t="n">
        <f aca="false">D184*E184</f>
        <v>11700</v>
      </c>
      <c r="M184" s="8" t="n">
        <f aca="false">D184*K184</f>
        <v>12660</v>
      </c>
      <c r="N184" s="8" t="n">
        <f aca="false">D184*H184</f>
        <v>11000</v>
      </c>
      <c r="O184" s="6" t="str">
        <f aca="false">IF(ISNUMBER(SEARCH(C184,F184)),"","YES")</f>
        <v>YES</v>
      </c>
      <c r="P184" s="6" t="s">
        <v>30</v>
      </c>
      <c r="Q184" s="7" t="s">
        <v>145</v>
      </c>
      <c r="R184" s="7" t="s">
        <v>32</v>
      </c>
    </row>
    <row r="185" customFormat="false" ht="15" hidden="false" customHeight="false" outlineLevel="0" collapsed="false">
      <c r="A185" s="6" t="n">
        <v>196</v>
      </c>
      <c r="B185" s="7" t="s">
        <v>367</v>
      </c>
      <c r="C185" s="6" t="s">
        <v>28</v>
      </c>
      <c r="D185" s="6" t="n">
        <v>2</v>
      </c>
      <c r="E185" s="8" t="n">
        <v>4550</v>
      </c>
      <c r="F185" s="7" t="s">
        <v>122</v>
      </c>
      <c r="G185" s="9" t="n">
        <v>3500</v>
      </c>
      <c r="H185" s="9" t="n">
        <v>4800</v>
      </c>
      <c r="I185" s="10" t="n">
        <f aca="false">IF(E185=0,0,(E185-H185)/E185)</f>
        <v>-0.0549450549450549</v>
      </c>
      <c r="J185" s="6" t="str">
        <f aca="false">IF(E185&lt;G185,"LOSS",IF(E185&lt;H185*1.1,"THIN / RISK",IF(E185&gt;H185*1.8,"OVERPRICED?","OK")))</f>
        <v>THIN / RISK</v>
      </c>
      <c r="K185" s="8" t="n">
        <f aca="false">IF(J185="OVERPRICED?",ROUND(H185*1.35,-1),MAX(E185,ROUND(H185*(1+$E$3),-1)))</f>
        <v>5520</v>
      </c>
      <c r="L185" s="8" t="n">
        <f aca="false">D185*E185</f>
        <v>9100</v>
      </c>
      <c r="M185" s="8" t="n">
        <f aca="false">D185*K185</f>
        <v>11040</v>
      </c>
      <c r="N185" s="8" t="n">
        <f aca="false">D185*H185</f>
        <v>9600</v>
      </c>
      <c r="O185" s="6" t="str">
        <f aca="false">IF(ISNUMBER(SEARCH(C185,F185)),"","YES")</f>
        <v>YES</v>
      </c>
      <c r="P185" s="6" t="s">
        <v>30</v>
      </c>
      <c r="Q185" s="7" t="s">
        <v>145</v>
      </c>
      <c r="R185" s="7" t="s">
        <v>32</v>
      </c>
    </row>
    <row r="186" customFormat="false" ht="15" hidden="false" customHeight="false" outlineLevel="0" collapsed="false">
      <c r="A186" s="6" t="n">
        <v>197</v>
      </c>
      <c r="B186" s="7" t="s">
        <v>368</v>
      </c>
      <c r="C186" s="6" t="s">
        <v>28</v>
      </c>
      <c r="D186" s="6" t="n">
        <v>1</v>
      </c>
      <c r="E186" s="8" t="n">
        <v>17940</v>
      </c>
      <c r="F186" s="7" t="s">
        <v>170</v>
      </c>
      <c r="G186" s="9" t="n">
        <v>5500</v>
      </c>
      <c r="H186" s="9" t="n">
        <v>5500</v>
      </c>
      <c r="I186" s="10" t="n">
        <f aca="false">IF(E186=0,0,(E186-H186)/E186)</f>
        <v>0.693422519509476</v>
      </c>
      <c r="J186" s="6" t="str">
        <f aca="false">IF(E186&lt;G186,"LOSS",IF(E186&lt;H186*1.1,"THIN / RISK",IF(E186&gt;H186*1.8,"OVERPRICED?","OK")))</f>
        <v>OVERPRICED?</v>
      </c>
      <c r="K186" s="8" t="n">
        <f aca="false">IF(J186="OVERPRICED?",ROUND(H186*1.35,-1),MAX(E186,ROUND(H186*(1+$E$3),-1)))</f>
        <v>7430</v>
      </c>
      <c r="L186" s="8" t="n">
        <f aca="false">D186*E186</f>
        <v>17940</v>
      </c>
      <c r="M186" s="8" t="n">
        <f aca="false">D186*K186</f>
        <v>7430</v>
      </c>
      <c r="N186" s="8" t="n">
        <f aca="false">D186*H186</f>
        <v>5500</v>
      </c>
      <c r="O186" s="6" t="str">
        <f aca="false">IF(ISNUMBER(SEARCH(C186,F186)),"","YES")</f>
        <v>YES</v>
      </c>
      <c r="P186" s="6" t="s">
        <v>44</v>
      </c>
      <c r="Q186" s="7" t="s">
        <v>369</v>
      </c>
      <c r="R186" s="7"/>
    </row>
    <row r="187" customFormat="false" ht="22.35" hidden="false" customHeight="false" outlineLevel="0" collapsed="false">
      <c r="A187" s="6" t="n">
        <v>198</v>
      </c>
      <c r="B187" s="7" t="s">
        <v>370</v>
      </c>
      <c r="C187" s="6" t="s">
        <v>28</v>
      </c>
      <c r="D187" s="6" t="n">
        <v>1</v>
      </c>
      <c r="E187" s="8" t="n">
        <v>18850</v>
      </c>
      <c r="F187" s="7" t="s">
        <v>170</v>
      </c>
      <c r="G187" s="9" t="n">
        <v>5500</v>
      </c>
      <c r="H187" s="9" t="n">
        <v>5500</v>
      </c>
      <c r="I187" s="10" t="n">
        <f aca="false">IF(E187=0,0,(E187-H187)/E187)</f>
        <v>0.708222811671088</v>
      </c>
      <c r="J187" s="6" t="str">
        <f aca="false">IF(E187&lt;G187,"LOSS",IF(E187&lt;H187*1.1,"THIN / RISK",IF(E187&gt;H187*1.8,"OVERPRICED?","OK")))</f>
        <v>OVERPRICED?</v>
      </c>
      <c r="K187" s="8" t="n">
        <f aca="false">IF(J187="OVERPRICED?",ROUND(H187*1.35,-1),MAX(E187,ROUND(H187*(1+$E$3),-1)))</f>
        <v>7430</v>
      </c>
      <c r="L187" s="8" t="n">
        <f aca="false">D187*E187</f>
        <v>18850</v>
      </c>
      <c r="M187" s="8" t="n">
        <f aca="false">D187*K187</f>
        <v>7430</v>
      </c>
      <c r="N187" s="8" t="n">
        <f aca="false">D187*H187</f>
        <v>5500</v>
      </c>
      <c r="O187" s="6" t="str">
        <f aca="false">IF(ISNUMBER(SEARCH(C187,F187)),"","YES")</f>
        <v>YES</v>
      </c>
      <c r="P187" s="6" t="s">
        <v>44</v>
      </c>
      <c r="Q187" s="7" t="s">
        <v>371</v>
      </c>
      <c r="R187" s="7"/>
    </row>
    <row r="188" customFormat="false" ht="15" hidden="false" customHeight="false" outlineLevel="0" collapsed="false">
      <c r="A188" s="6" t="n">
        <v>199</v>
      </c>
      <c r="B188" s="7" t="s">
        <v>372</v>
      </c>
      <c r="C188" s="6" t="s">
        <v>28</v>
      </c>
      <c r="D188" s="6" t="n">
        <v>1</v>
      </c>
      <c r="E188" s="8" t="n">
        <v>19500</v>
      </c>
      <c r="F188" s="7" t="s">
        <v>170</v>
      </c>
      <c r="G188" s="9" t="n">
        <v>6200</v>
      </c>
      <c r="H188" s="9" t="n">
        <v>6200</v>
      </c>
      <c r="I188" s="10" t="n">
        <f aca="false">IF(E188=0,0,(E188-H188)/E188)</f>
        <v>0.682051282051282</v>
      </c>
      <c r="J188" s="6" t="str">
        <f aca="false">IF(E188&lt;G188,"LOSS",IF(E188&lt;H188*1.1,"THIN / RISK",IF(E188&gt;H188*1.8,"OVERPRICED?","OK")))</f>
        <v>OVERPRICED?</v>
      </c>
      <c r="K188" s="8" t="n">
        <f aca="false">IF(J188="OVERPRICED?",ROUND(H188*1.35,-1),MAX(E188,ROUND(H188*(1+$E$3),-1)))</f>
        <v>8370</v>
      </c>
      <c r="L188" s="8" t="n">
        <f aca="false">D188*E188</f>
        <v>19500</v>
      </c>
      <c r="M188" s="8" t="n">
        <f aca="false">D188*K188</f>
        <v>8370</v>
      </c>
      <c r="N188" s="8" t="n">
        <f aca="false">D188*H188</f>
        <v>6200</v>
      </c>
      <c r="O188" s="6" t="str">
        <f aca="false">IF(ISNUMBER(SEARCH(C188,F188)),"","YES")</f>
        <v>YES</v>
      </c>
      <c r="P188" s="6" t="s">
        <v>44</v>
      </c>
      <c r="Q188" s="7" t="s">
        <v>373</v>
      </c>
      <c r="R188" s="7"/>
    </row>
    <row r="189" customFormat="false" ht="15" hidden="false" customHeight="false" outlineLevel="0" collapsed="false">
      <c r="A189" s="6" t="n">
        <v>200</v>
      </c>
      <c r="B189" s="7" t="s">
        <v>374</v>
      </c>
      <c r="C189" s="6" t="s">
        <v>28</v>
      </c>
      <c r="D189" s="6" t="n">
        <v>1</v>
      </c>
      <c r="E189" s="8" t="n">
        <v>20800</v>
      </c>
      <c r="F189" s="7" t="s">
        <v>170</v>
      </c>
      <c r="G189" s="9" t="n">
        <v>6875</v>
      </c>
      <c r="H189" s="9" t="n">
        <v>6875</v>
      </c>
      <c r="I189" s="10" t="n">
        <f aca="false">IF(E189=0,0,(E189-H189)/E189)</f>
        <v>0.669471153846154</v>
      </c>
      <c r="J189" s="6" t="str">
        <f aca="false">IF(E189&lt;G189,"LOSS",IF(E189&lt;H189*1.1,"THIN / RISK",IF(E189&gt;H189*1.8,"OVERPRICED?","OK")))</f>
        <v>OVERPRICED?</v>
      </c>
      <c r="K189" s="8" t="n">
        <f aca="false">IF(J189="OVERPRICED?",ROUND(H189*1.35,-1),MAX(E189,ROUND(H189*(1+$E$3),-1)))</f>
        <v>9280</v>
      </c>
      <c r="L189" s="8" t="n">
        <f aca="false">D189*E189</f>
        <v>20800</v>
      </c>
      <c r="M189" s="8" t="n">
        <f aca="false">D189*K189</f>
        <v>9280</v>
      </c>
      <c r="N189" s="8" t="n">
        <f aca="false">D189*H189</f>
        <v>6875</v>
      </c>
      <c r="O189" s="6" t="str">
        <f aca="false">IF(ISNUMBER(SEARCH(C189,F189)),"","YES")</f>
        <v>YES</v>
      </c>
      <c r="P189" s="6" t="s">
        <v>44</v>
      </c>
      <c r="Q189" s="7" t="s">
        <v>375</v>
      </c>
      <c r="R189" s="7"/>
    </row>
    <row r="190" customFormat="false" ht="15" hidden="false" customHeight="false" outlineLevel="0" collapsed="false">
      <c r="A190" s="6" t="n">
        <v>201</v>
      </c>
      <c r="B190" s="7" t="s">
        <v>376</v>
      </c>
      <c r="C190" s="6" t="s">
        <v>28</v>
      </c>
      <c r="D190" s="6" t="n">
        <v>1</v>
      </c>
      <c r="E190" s="8" t="n">
        <v>22750</v>
      </c>
      <c r="F190" s="7" t="s">
        <v>170</v>
      </c>
      <c r="G190" s="9" t="n">
        <v>8750</v>
      </c>
      <c r="H190" s="9" t="n">
        <v>8750</v>
      </c>
      <c r="I190" s="10" t="n">
        <f aca="false">IF(E190=0,0,(E190-H190)/E190)</f>
        <v>0.615384615384615</v>
      </c>
      <c r="J190" s="6" t="str">
        <f aca="false">IF(E190&lt;G190,"LOSS",IF(E190&lt;H190*1.1,"THIN / RISK",IF(E190&gt;H190*1.8,"OVERPRICED?","OK")))</f>
        <v>OVERPRICED?</v>
      </c>
      <c r="K190" s="8" t="n">
        <f aca="false">IF(J190="OVERPRICED?",ROUND(H190*1.35,-1),MAX(E190,ROUND(H190*(1+$E$3),-1)))</f>
        <v>11810</v>
      </c>
      <c r="L190" s="8" t="n">
        <f aca="false">D190*E190</f>
        <v>22750</v>
      </c>
      <c r="M190" s="8" t="n">
        <f aca="false">D190*K190</f>
        <v>11810</v>
      </c>
      <c r="N190" s="8" t="n">
        <f aca="false">D190*H190</f>
        <v>8750</v>
      </c>
      <c r="O190" s="6" t="str">
        <f aca="false">IF(ISNUMBER(SEARCH(C190,F190)),"","YES")</f>
        <v>YES</v>
      </c>
      <c r="P190" s="6" t="s">
        <v>44</v>
      </c>
      <c r="Q190" s="7" t="s">
        <v>377</v>
      </c>
      <c r="R190" s="7"/>
    </row>
    <row r="191" customFormat="false" ht="22.35" hidden="false" customHeight="false" outlineLevel="0" collapsed="false">
      <c r="A191" s="6" t="n">
        <v>202</v>
      </c>
      <c r="B191" s="7" t="s">
        <v>378</v>
      </c>
      <c r="C191" s="6" t="s">
        <v>28</v>
      </c>
      <c r="D191" s="6" t="n">
        <v>2</v>
      </c>
      <c r="E191" s="8" t="n">
        <v>2340</v>
      </c>
      <c r="F191" s="7" t="s">
        <v>43</v>
      </c>
      <c r="G191" s="9" t="n">
        <v>1352</v>
      </c>
      <c r="H191" s="9" t="n">
        <v>1352</v>
      </c>
      <c r="I191" s="10" t="n">
        <f aca="false">IF(E191=0,0,(E191-H191)/E191)</f>
        <v>0.422222222222222</v>
      </c>
      <c r="J191" s="6" t="str">
        <f aca="false">IF(E191&lt;G191,"LOSS",IF(E191&lt;H191*1.1,"THIN / RISK",IF(E191&gt;H191*1.8,"OVERPRICED?","OK")))</f>
        <v>OK</v>
      </c>
      <c r="K191" s="8" t="n">
        <f aca="false">IF(J191="OVERPRICED?",ROUND(H191*1.35,-1),MAX(E191,ROUND(H191*(1+$E$3),-1)))</f>
        <v>2340</v>
      </c>
      <c r="L191" s="8" t="n">
        <f aca="false">D191*E191</f>
        <v>4680</v>
      </c>
      <c r="M191" s="8" t="n">
        <f aca="false">D191*K191</f>
        <v>4680</v>
      </c>
      <c r="N191" s="8" t="n">
        <f aca="false">D191*H191</f>
        <v>2704</v>
      </c>
      <c r="O191" s="6" t="str">
        <f aca="false">IF(ISNUMBER(SEARCH(C191,F191)),"","YES")</f>
        <v>YES</v>
      </c>
      <c r="P191" s="6" t="s">
        <v>24</v>
      </c>
      <c r="Q191" s="7" t="s">
        <v>379</v>
      </c>
      <c r="R191" s="7" t="s">
        <v>26</v>
      </c>
    </row>
    <row r="192" customFormat="false" ht="22.35" hidden="false" customHeight="false" outlineLevel="0" collapsed="false">
      <c r="A192" s="6" t="n">
        <v>204</v>
      </c>
      <c r="B192" s="7" t="s">
        <v>380</v>
      </c>
      <c r="C192" s="6" t="s">
        <v>28</v>
      </c>
      <c r="D192" s="6" t="n">
        <v>6</v>
      </c>
      <c r="E192" s="8" t="n">
        <v>845</v>
      </c>
      <c r="F192" s="7" t="s">
        <v>381</v>
      </c>
      <c r="G192" s="9" t="n">
        <v>5480</v>
      </c>
      <c r="H192" s="9" t="n">
        <v>7130</v>
      </c>
      <c r="I192" s="10" t="n">
        <f aca="false">IF(E192=0,0,(E192-H192)/E192)</f>
        <v>-7.43786982248521</v>
      </c>
      <c r="J192" s="6" t="str">
        <f aca="false">IF(E192&lt;G192,"LOSS",IF(E192&lt;H192*1.1,"THIN / RISK",IF(E192&gt;H192*1.8,"OVERPRICED?","OK")))</f>
        <v>LOSS</v>
      </c>
      <c r="K192" s="8" t="n">
        <f aca="false">IF(J192="OVERPRICED?",ROUND(H192*1.35,-1),MAX(E192,ROUND(H192*(1+$E$3),-1)))</f>
        <v>8200</v>
      </c>
      <c r="L192" s="8" t="n">
        <f aca="false">D192*E192</f>
        <v>5070</v>
      </c>
      <c r="M192" s="8" t="n">
        <f aca="false">D192*K192</f>
        <v>49200</v>
      </c>
      <c r="N192" s="8" t="n">
        <f aca="false">D192*H192</f>
        <v>42780</v>
      </c>
      <c r="O192" s="6" t="str">
        <f aca="false">IF(ISNUMBER(SEARCH(C192,F192)),"","YES")</f>
        <v>YES</v>
      </c>
      <c r="P192" s="6" t="s">
        <v>30</v>
      </c>
      <c r="Q192" s="7" t="s">
        <v>382</v>
      </c>
      <c r="R192" s="7" t="s">
        <v>32</v>
      </c>
    </row>
    <row r="193" customFormat="false" ht="22.35" hidden="false" customHeight="false" outlineLevel="0" collapsed="false">
      <c r="A193" s="6" t="n">
        <v>205</v>
      </c>
      <c r="B193" s="7" t="s">
        <v>383</v>
      </c>
      <c r="C193" s="6" t="s">
        <v>28</v>
      </c>
      <c r="D193" s="6" t="n">
        <v>6</v>
      </c>
      <c r="E193" s="8" t="n">
        <v>910</v>
      </c>
      <c r="F193" s="7" t="s">
        <v>381</v>
      </c>
      <c r="G193" s="9" t="n">
        <v>5960</v>
      </c>
      <c r="H193" s="9" t="n">
        <v>7750</v>
      </c>
      <c r="I193" s="10" t="n">
        <f aca="false">IF(E193=0,0,(E193-H193)/E193)</f>
        <v>-7.51648351648352</v>
      </c>
      <c r="J193" s="6" t="str">
        <f aca="false">IF(E193&lt;G193,"LOSS",IF(E193&lt;H193*1.1,"THIN / RISK",IF(E193&gt;H193*1.8,"OVERPRICED?","OK")))</f>
        <v>LOSS</v>
      </c>
      <c r="K193" s="8" t="n">
        <f aca="false">IF(J193="OVERPRICED?",ROUND(H193*1.35,-1),MAX(E193,ROUND(H193*(1+$E$3),-1)))</f>
        <v>8910</v>
      </c>
      <c r="L193" s="8" t="n">
        <f aca="false">D193*E193</f>
        <v>5460</v>
      </c>
      <c r="M193" s="8" t="n">
        <f aca="false">D193*K193</f>
        <v>53460</v>
      </c>
      <c r="N193" s="8" t="n">
        <f aca="false">D193*H193</f>
        <v>46500</v>
      </c>
      <c r="O193" s="6" t="str">
        <f aca="false">IF(ISNUMBER(SEARCH(C193,F193)),"","YES")</f>
        <v>YES</v>
      </c>
      <c r="P193" s="6" t="s">
        <v>30</v>
      </c>
      <c r="Q193" s="7" t="s">
        <v>382</v>
      </c>
      <c r="R193" s="7" t="s">
        <v>32</v>
      </c>
    </row>
    <row r="194" customFormat="false" ht="22.35" hidden="false" customHeight="false" outlineLevel="0" collapsed="false">
      <c r="A194" s="6" t="n">
        <v>206</v>
      </c>
      <c r="B194" s="7" t="s">
        <v>384</v>
      </c>
      <c r="C194" s="6" t="s">
        <v>28</v>
      </c>
      <c r="D194" s="6" t="n">
        <v>6</v>
      </c>
      <c r="E194" s="8" t="n">
        <v>1170</v>
      </c>
      <c r="F194" s="7" t="s">
        <v>381</v>
      </c>
      <c r="G194" s="9" t="n">
        <v>6930</v>
      </c>
      <c r="H194" s="9" t="n">
        <v>9010</v>
      </c>
      <c r="I194" s="10" t="n">
        <f aca="false">IF(E194=0,0,(E194-H194)/E194)</f>
        <v>-6.7008547008547</v>
      </c>
      <c r="J194" s="6" t="str">
        <f aca="false">IF(E194&lt;G194,"LOSS",IF(E194&lt;H194*1.1,"THIN / RISK",IF(E194&gt;H194*1.8,"OVERPRICED?","OK")))</f>
        <v>LOSS</v>
      </c>
      <c r="K194" s="8" t="n">
        <f aca="false">IF(J194="OVERPRICED?",ROUND(H194*1.35,-1),MAX(E194,ROUND(H194*(1+$E$3),-1)))</f>
        <v>10360</v>
      </c>
      <c r="L194" s="8" t="n">
        <f aca="false">D194*E194</f>
        <v>7020</v>
      </c>
      <c r="M194" s="8" t="n">
        <f aca="false">D194*K194</f>
        <v>62160</v>
      </c>
      <c r="N194" s="8" t="n">
        <f aca="false">D194*H194</f>
        <v>54060</v>
      </c>
      <c r="O194" s="6" t="str">
        <f aca="false">IF(ISNUMBER(SEARCH(C194,F194)),"","YES")</f>
        <v>YES</v>
      </c>
      <c r="P194" s="6" t="s">
        <v>30</v>
      </c>
      <c r="Q194" s="7" t="s">
        <v>382</v>
      </c>
      <c r="R194" s="7" t="s">
        <v>32</v>
      </c>
    </row>
    <row r="195" customFormat="false" ht="22.35" hidden="false" customHeight="false" outlineLevel="0" collapsed="false">
      <c r="A195" s="6" t="n">
        <v>207</v>
      </c>
      <c r="B195" s="7" t="s">
        <v>385</v>
      </c>
      <c r="C195" s="6" t="s">
        <v>28</v>
      </c>
      <c r="D195" s="6" t="n">
        <v>4</v>
      </c>
      <c r="E195" s="8" t="n">
        <v>1430</v>
      </c>
      <c r="F195" s="7" t="s">
        <v>381</v>
      </c>
      <c r="G195" s="9" t="n">
        <v>8960</v>
      </c>
      <c r="H195" s="9" t="n">
        <v>11640</v>
      </c>
      <c r="I195" s="10" t="n">
        <f aca="false">IF(E195=0,0,(E195-H195)/E195)</f>
        <v>-7.13986013986014</v>
      </c>
      <c r="J195" s="6" t="str">
        <f aca="false">IF(E195&lt;G195,"LOSS",IF(E195&lt;H195*1.1,"THIN / RISK",IF(E195&gt;H195*1.8,"OVERPRICED?","OK")))</f>
        <v>LOSS</v>
      </c>
      <c r="K195" s="8" t="n">
        <f aca="false">IF(J195="OVERPRICED?",ROUND(H195*1.35,-1),MAX(E195,ROUND(H195*(1+$E$3),-1)))</f>
        <v>13390</v>
      </c>
      <c r="L195" s="8" t="n">
        <f aca="false">D195*E195</f>
        <v>5720</v>
      </c>
      <c r="M195" s="8" t="n">
        <f aca="false">D195*K195</f>
        <v>53560</v>
      </c>
      <c r="N195" s="8" t="n">
        <f aca="false">D195*H195</f>
        <v>46560</v>
      </c>
      <c r="O195" s="6" t="str">
        <f aca="false">IF(ISNUMBER(SEARCH(C195,F195)),"","YES")</f>
        <v>YES</v>
      </c>
      <c r="P195" s="6" t="s">
        <v>30</v>
      </c>
      <c r="Q195" s="7" t="s">
        <v>382</v>
      </c>
      <c r="R195" s="7" t="s">
        <v>32</v>
      </c>
    </row>
    <row r="196" customFormat="false" ht="22.35" hidden="false" customHeight="false" outlineLevel="0" collapsed="false">
      <c r="A196" s="6" t="n">
        <v>208</v>
      </c>
      <c r="B196" s="7" t="s">
        <v>386</v>
      </c>
      <c r="C196" s="6" t="s">
        <v>28</v>
      </c>
      <c r="D196" s="6" t="n">
        <v>3</v>
      </c>
      <c r="E196" s="8" t="n">
        <v>1690</v>
      </c>
      <c r="F196" s="7" t="s">
        <v>387</v>
      </c>
      <c r="G196" s="9" t="n">
        <v>2900</v>
      </c>
      <c r="H196" s="9" t="n">
        <v>2900</v>
      </c>
      <c r="I196" s="10" t="n">
        <f aca="false">IF(E196=0,0,(E196-H196)/E196)</f>
        <v>-0.715976331360947</v>
      </c>
      <c r="J196" s="6" t="str">
        <f aca="false">IF(E196&lt;G196,"LOSS",IF(E196&lt;H196*1.1,"THIN / RISK",IF(E196&gt;H196*1.8,"OVERPRICED?","OK")))</f>
        <v>LOSS</v>
      </c>
      <c r="K196" s="8" t="n">
        <f aca="false">IF(J196="OVERPRICED?",ROUND(H196*1.35,-1),MAX(E196,ROUND(H196*(1+$E$3),-1)))</f>
        <v>3340</v>
      </c>
      <c r="L196" s="8" t="n">
        <f aca="false">D196*E196</f>
        <v>5070</v>
      </c>
      <c r="M196" s="8" t="n">
        <f aca="false">D196*K196</f>
        <v>10020</v>
      </c>
      <c r="N196" s="8" t="n">
        <f aca="false">D196*H196</f>
        <v>8700</v>
      </c>
      <c r="O196" s="6" t="str">
        <f aca="false">IF(ISNUMBER(SEARCH(C196,F196)),"","YES")</f>
        <v>YES</v>
      </c>
      <c r="P196" s="6" t="s">
        <v>44</v>
      </c>
      <c r="Q196" s="7" t="s">
        <v>388</v>
      </c>
      <c r="R196" s="7"/>
    </row>
    <row r="197" customFormat="false" ht="22.35" hidden="false" customHeight="false" outlineLevel="0" collapsed="false">
      <c r="A197" s="6" t="n">
        <v>209</v>
      </c>
      <c r="B197" s="7" t="s">
        <v>389</v>
      </c>
      <c r="C197" s="6" t="s">
        <v>28</v>
      </c>
      <c r="D197" s="6" t="n">
        <v>3</v>
      </c>
      <c r="E197" s="8" t="n">
        <v>2340</v>
      </c>
      <c r="F197" s="7" t="s">
        <v>381</v>
      </c>
      <c r="G197" s="9" t="n">
        <v>15380</v>
      </c>
      <c r="H197" s="9" t="n">
        <v>19990</v>
      </c>
      <c r="I197" s="10" t="n">
        <f aca="false">IF(E197=0,0,(E197-H197)/E197)</f>
        <v>-7.54273504273504</v>
      </c>
      <c r="J197" s="6" t="str">
        <f aca="false">IF(E197&lt;G197,"LOSS",IF(E197&lt;H197*1.1,"THIN / RISK",IF(E197&gt;H197*1.8,"OVERPRICED?","OK")))</f>
        <v>LOSS</v>
      </c>
      <c r="K197" s="8" t="n">
        <f aca="false">IF(J197="OVERPRICED?",ROUND(H197*1.35,-1),MAX(E197,ROUND(H197*(1+$E$3),-1)))</f>
        <v>22990</v>
      </c>
      <c r="L197" s="8" t="n">
        <f aca="false">D197*E197</f>
        <v>7020</v>
      </c>
      <c r="M197" s="8" t="n">
        <f aca="false">D197*K197</f>
        <v>68970</v>
      </c>
      <c r="N197" s="8" t="n">
        <f aca="false">D197*H197</f>
        <v>59970</v>
      </c>
      <c r="O197" s="6" t="str">
        <f aca="false">IF(ISNUMBER(SEARCH(C197,F197)),"","YES")</f>
        <v>YES</v>
      </c>
      <c r="P197" s="6" t="s">
        <v>30</v>
      </c>
      <c r="Q197" s="7" t="s">
        <v>382</v>
      </c>
      <c r="R197" s="7" t="s">
        <v>32</v>
      </c>
    </row>
    <row r="198" customFormat="false" ht="22.35" hidden="false" customHeight="false" outlineLevel="0" collapsed="false">
      <c r="A198" s="6" t="n">
        <v>210</v>
      </c>
      <c r="B198" s="7" t="s">
        <v>390</v>
      </c>
      <c r="C198" s="6" t="s">
        <v>28</v>
      </c>
      <c r="D198" s="6" t="n">
        <v>2</v>
      </c>
      <c r="E198" s="8" t="n">
        <v>2860</v>
      </c>
      <c r="F198" s="7" t="s">
        <v>381</v>
      </c>
      <c r="G198" s="9" t="n">
        <v>17610</v>
      </c>
      <c r="H198" s="9" t="n">
        <v>22890</v>
      </c>
      <c r="I198" s="10" t="n">
        <f aca="false">IF(E198=0,0,(E198-H198)/E198)</f>
        <v>-7.0034965034965</v>
      </c>
      <c r="J198" s="6" t="str">
        <f aca="false">IF(E198&lt;G198,"LOSS",IF(E198&lt;H198*1.1,"THIN / RISK",IF(E198&gt;H198*1.8,"OVERPRICED?","OK")))</f>
        <v>LOSS</v>
      </c>
      <c r="K198" s="8" t="n">
        <f aca="false">IF(J198="OVERPRICED?",ROUND(H198*1.35,-1),MAX(E198,ROUND(H198*(1+$E$3),-1)))</f>
        <v>26320</v>
      </c>
      <c r="L198" s="8" t="n">
        <f aca="false">D198*E198</f>
        <v>5720</v>
      </c>
      <c r="M198" s="8" t="n">
        <f aca="false">D198*K198</f>
        <v>52640</v>
      </c>
      <c r="N198" s="8" t="n">
        <f aca="false">D198*H198</f>
        <v>45780</v>
      </c>
      <c r="O198" s="6" t="str">
        <f aca="false">IF(ISNUMBER(SEARCH(C198,F198)),"","YES")</f>
        <v>YES</v>
      </c>
      <c r="P198" s="6" t="s">
        <v>30</v>
      </c>
      <c r="Q198" s="7" t="s">
        <v>382</v>
      </c>
      <c r="R198" s="7" t="s">
        <v>32</v>
      </c>
    </row>
    <row r="199" customFormat="false" ht="22.35" hidden="false" customHeight="false" outlineLevel="0" collapsed="false">
      <c r="A199" s="6" t="n">
        <v>211</v>
      </c>
      <c r="B199" s="7" t="s">
        <v>391</v>
      </c>
      <c r="C199" s="6" t="s">
        <v>28</v>
      </c>
      <c r="D199" s="6" t="n">
        <v>1</v>
      </c>
      <c r="E199" s="8" t="n">
        <v>4160</v>
      </c>
      <c r="F199" s="7" t="s">
        <v>381</v>
      </c>
      <c r="G199" s="9" t="n">
        <v>22180</v>
      </c>
      <c r="H199" s="9" t="n">
        <v>28830</v>
      </c>
      <c r="I199" s="10" t="n">
        <f aca="false">IF(E199=0,0,(E199-H199)/E199)</f>
        <v>-5.93028846153846</v>
      </c>
      <c r="J199" s="6" t="str">
        <f aca="false">IF(E199&lt;G199,"LOSS",IF(E199&lt;H199*1.1,"THIN / RISK",IF(E199&gt;H199*1.8,"OVERPRICED?","OK")))</f>
        <v>LOSS</v>
      </c>
      <c r="K199" s="8" t="n">
        <f aca="false">IF(J199="OVERPRICED?",ROUND(H199*1.35,-1),MAX(E199,ROUND(H199*(1+$E$3),-1)))</f>
        <v>33150</v>
      </c>
      <c r="L199" s="8" t="n">
        <f aca="false">D199*E199</f>
        <v>4160</v>
      </c>
      <c r="M199" s="8" t="n">
        <f aca="false">D199*K199</f>
        <v>33150</v>
      </c>
      <c r="N199" s="8" t="n">
        <f aca="false">D199*H199</f>
        <v>28830</v>
      </c>
      <c r="O199" s="6" t="str">
        <f aca="false">IF(ISNUMBER(SEARCH(C199,F199)),"","YES")</f>
        <v>YES</v>
      </c>
      <c r="P199" s="6" t="s">
        <v>30</v>
      </c>
      <c r="Q199" s="7" t="s">
        <v>382</v>
      </c>
      <c r="R199" s="7" t="s">
        <v>32</v>
      </c>
    </row>
    <row r="200" customFormat="false" ht="22.35" hidden="false" customHeight="false" outlineLevel="0" collapsed="false">
      <c r="A200" s="6" t="n">
        <v>212</v>
      </c>
      <c r="B200" s="7" t="s">
        <v>392</v>
      </c>
      <c r="C200" s="6" t="s">
        <v>28</v>
      </c>
      <c r="D200" s="6" t="n">
        <v>1</v>
      </c>
      <c r="E200" s="8" t="n">
        <v>5460</v>
      </c>
      <c r="F200" s="7" t="s">
        <v>381</v>
      </c>
      <c r="G200" s="9" t="n">
        <v>25690</v>
      </c>
      <c r="H200" s="9" t="n">
        <v>33400</v>
      </c>
      <c r="I200" s="10" t="n">
        <f aca="false">IF(E200=0,0,(E200-H200)/E200)</f>
        <v>-5.11721611721612</v>
      </c>
      <c r="J200" s="6" t="str">
        <f aca="false">IF(E200&lt;G200,"LOSS",IF(E200&lt;H200*1.1,"THIN / RISK",IF(E200&gt;H200*1.8,"OVERPRICED?","OK")))</f>
        <v>LOSS</v>
      </c>
      <c r="K200" s="8" t="n">
        <f aca="false">IF(J200="OVERPRICED?",ROUND(H200*1.35,-1),MAX(E200,ROUND(H200*(1+$E$3),-1)))</f>
        <v>38410</v>
      </c>
      <c r="L200" s="8" t="n">
        <f aca="false">D200*E200</f>
        <v>5460</v>
      </c>
      <c r="M200" s="8" t="n">
        <f aca="false">D200*K200</f>
        <v>38410</v>
      </c>
      <c r="N200" s="8" t="n">
        <f aca="false">D200*H200</f>
        <v>33400</v>
      </c>
      <c r="O200" s="6" t="str">
        <f aca="false">IF(ISNUMBER(SEARCH(C200,F200)),"","YES")</f>
        <v>YES</v>
      </c>
      <c r="P200" s="6" t="s">
        <v>30</v>
      </c>
      <c r="Q200" s="7" t="s">
        <v>382</v>
      </c>
      <c r="R200" s="7" t="s">
        <v>32</v>
      </c>
    </row>
    <row r="201" customFormat="false" ht="15" hidden="false" customHeight="false" outlineLevel="0" collapsed="false">
      <c r="A201" s="6" t="n">
        <v>213</v>
      </c>
      <c r="B201" s="7" t="s">
        <v>393</v>
      </c>
      <c r="C201" s="6" t="s">
        <v>28</v>
      </c>
      <c r="D201" s="6" t="n">
        <v>2</v>
      </c>
      <c r="E201" s="8" t="n">
        <v>455</v>
      </c>
      <c r="F201" s="7" t="s">
        <v>122</v>
      </c>
      <c r="G201" s="9" t="n">
        <v>500</v>
      </c>
      <c r="H201" s="9" t="n">
        <v>700</v>
      </c>
      <c r="I201" s="10" t="n">
        <f aca="false">IF(E201=0,0,(E201-H201)/E201)</f>
        <v>-0.538461538461538</v>
      </c>
      <c r="J201" s="6" t="str">
        <f aca="false">IF(E201&lt;G201,"LOSS",IF(E201&lt;H201*1.1,"THIN / RISK",IF(E201&gt;H201*1.8,"OVERPRICED?","OK")))</f>
        <v>LOSS</v>
      </c>
      <c r="K201" s="8" t="n">
        <f aca="false">IF(J201="OVERPRICED?",ROUND(H201*1.35,-1),MAX(E201,ROUND(H201*(1+$E$3),-1)))</f>
        <v>810</v>
      </c>
      <c r="L201" s="8" t="n">
        <f aca="false">D201*E201</f>
        <v>910</v>
      </c>
      <c r="M201" s="8" t="n">
        <f aca="false">D201*K201</f>
        <v>1620</v>
      </c>
      <c r="N201" s="8" t="n">
        <f aca="false">D201*H201</f>
        <v>1400</v>
      </c>
      <c r="O201" s="6" t="str">
        <f aca="false">IF(ISNUMBER(SEARCH(C201,F201)),"","YES")</f>
        <v>YES</v>
      </c>
      <c r="P201" s="6" t="s">
        <v>30</v>
      </c>
      <c r="Q201" s="7" t="s">
        <v>145</v>
      </c>
      <c r="R201" s="7" t="s">
        <v>32</v>
      </c>
    </row>
    <row r="202" customFormat="false" ht="15" hidden="false" customHeight="false" outlineLevel="0" collapsed="false">
      <c r="A202" s="6" t="n">
        <v>214</v>
      </c>
      <c r="B202" s="7" t="s">
        <v>394</v>
      </c>
      <c r="C202" s="6" t="s">
        <v>28</v>
      </c>
      <c r="D202" s="6" t="n">
        <v>2</v>
      </c>
      <c r="E202" s="8" t="n">
        <v>494</v>
      </c>
      <c r="F202" s="7" t="s">
        <v>122</v>
      </c>
      <c r="G202" s="9" t="n">
        <v>550</v>
      </c>
      <c r="H202" s="9" t="n">
        <v>750</v>
      </c>
      <c r="I202" s="10" t="n">
        <f aca="false">IF(E202=0,0,(E202-H202)/E202)</f>
        <v>-0.518218623481781</v>
      </c>
      <c r="J202" s="6" t="str">
        <f aca="false">IF(E202&lt;G202,"LOSS",IF(E202&lt;H202*1.1,"THIN / RISK",IF(E202&gt;H202*1.8,"OVERPRICED?","OK")))</f>
        <v>LOSS</v>
      </c>
      <c r="K202" s="8" t="n">
        <f aca="false">IF(J202="OVERPRICED?",ROUND(H202*1.35,-1),MAX(E202,ROUND(H202*(1+$E$3),-1)))</f>
        <v>860</v>
      </c>
      <c r="L202" s="8" t="n">
        <f aca="false">D202*E202</f>
        <v>988</v>
      </c>
      <c r="M202" s="8" t="n">
        <f aca="false">D202*K202</f>
        <v>1720</v>
      </c>
      <c r="N202" s="8" t="n">
        <f aca="false">D202*H202</f>
        <v>1500</v>
      </c>
      <c r="O202" s="6" t="str">
        <f aca="false">IF(ISNUMBER(SEARCH(C202,F202)),"","YES")</f>
        <v>YES</v>
      </c>
      <c r="P202" s="6" t="s">
        <v>30</v>
      </c>
      <c r="Q202" s="7" t="s">
        <v>145</v>
      </c>
      <c r="R202" s="7" t="s">
        <v>32</v>
      </c>
    </row>
    <row r="203" customFormat="false" ht="15" hidden="false" customHeight="false" outlineLevel="0" collapsed="false">
      <c r="A203" s="6" t="n">
        <v>215</v>
      </c>
      <c r="B203" s="7" t="s">
        <v>395</v>
      </c>
      <c r="C203" s="6" t="s">
        <v>28</v>
      </c>
      <c r="D203" s="6" t="n">
        <v>2</v>
      </c>
      <c r="E203" s="8" t="n">
        <v>585</v>
      </c>
      <c r="F203" s="7" t="s">
        <v>122</v>
      </c>
      <c r="G203" s="9" t="n">
        <v>650</v>
      </c>
      <c r="H203" s="9" t="n">
        <v>850</v>
      </c>
      <c r="I203" s="10" t="n">
        <f aca="false">IF(E203=0,0,(E203-H203)/E203)</f>
        <v>-0.452991452991453</v>
      </c>
      <c r="J203" s="6" t="str">
        <f aca="false">IF(E203&lt;G203,"LOSS",IF(E203&lt;H203*1.1,"THIN / RISK",IF(E203&gt;H203*1.8,"OVERPRICED?","OK")))</f>
        <v>LOSS</v>
      </c>
      <c r="K203" s="8" t="n">
        <f aca="false">IF(J203="OVERPRICED?",ROUND(H203*1.35,-1),MAX(E203,ROUND(H203*(1+$E$3),-1)))</f>
        <v>980</v>
      </c>
      <c r="L203" s="8" t="n">
        <f aca="false">D203*E203</f>
        <v>1170</v>
      </c>
      <c r="M203" s="8" t="n">
        <f aca="false">D203*K203</f>
        <v>1960</v>
      </c>
      <c r="N203" s="8" t="n">
        <f aca="false">D203*H203</f>
        <v>1700</v>
      </c>
      <c r="O203" s="6" t="str">
        <f aca="false">IF(ISNUMBER(SEARCH(C203,F203)),"","YES")</f>
        <v>YES</v>
      </c>
      <c r="P203" s="6" t="s">
        <v>30</v>
      </c>
      <c r="Q203" s="7" t="s">
        <v>145</v>
      </c>
      <c r="R203" s="7" t="s">
        <v>32</v>
      </c>
    </row>
    <row r="204" customFormat="false" ht="15" hidden="false" customHeight="false" outlineLevel="0" collapsed="false">
      <c r="A204" s="6" t="n">
        <v>216</v>
      </c>
      <c r="B204" s="7" t="s">
        <v>396</v>
      </c>
      <c r="C204" s="6" t="s">
        <v>28</v>
      </c>
      <c r="D204" s="6" t="n">
        <v>2</v>
      </c>
      <c r="E204" s="8" t="n">
        <v>715</v>
      </c>
      <c r="F204" s="7" t="s">
        <v>122</v>
      </c>
      <c r="G204" s="9" t="n">
        <v>800</v>
      </c>
      <c r="H204" s="9" t="n">
        <v>1050</v>
      </c>
      <c r="I204" s="10" t="n">
        <f aca="false">IF(E204=0,0,(E204-H204)/E204)</f>
        <v>-0.468531468531469</v>
      </c>
      <c r="J204" s="6" t="str">
        <f aca="false">IF(E204&lt;G204,"LOSS",IF(E204&lt;H204*1.1,"THIN / RISK",IF(E204&gt;H204*1.8,"OVERPRICED?","OK")))</f>
        <v>LOSS</v>
      </c>
      <c r="K204" s="8" t="n">
        <f aca="false">IF(J204="OVERPRICED?",ROUND(H204*1.35,-1),MAX(E204,ROUND(H204*(1+$E$3),-1)))</f>
        <v>1210</v>
      </c>
      <c r="L204" s="8" t="n">
        <f aca="false">D204*E204</f>
        <v>1430</v>
      </c>
      <c r="M204" s="8" t="n">
        <f aca="false">D204*K204</f>
        <v>2420</v>
      </c>
      <c r="N204" s="8" t="n">
        <f aca="false">D204*H204</f>
        <v>2100</v>
      </c>
      <c r="O204" s="6" t="str">
        <f aca="false">IF(ISNUMBER(SEARCH(C204,F204)),"","YES")</f>
        <v>YES</v>
      </c>
      <c r="P204" s="6" t="s">
        <v>30</v>
      </c>
      <c r="Q204" s="7" t="s">
        <v>145</v>
      </c>
      <c r="R204" s="7" t="s">
        <v>32</v>
      </c>
    </row>
    <row r="205" customFormat="false" ht="15" hidden="false" customHeight="false" outlineLevel="0" collapsed="false">
      <c r="A205" s="6" t="n">
        <v>217</v>
      </c>
      <c r="B205" s="7" t="s">
        <v>397</v>
      </c>
      <c r="C205" s="6" t="s">
        <v>28</v>
      </c>
      <c r="D205" s="6" t="n">
        <v>2</v>
      </c>
      <c r="E205" s="8" t="n">
        <v>910</v>
      </c>
      <c r="F205" s="7" t="s">
        <v>122</v>
      </c>
      <c r="G205" s="9" t="n">
        <v>1000</v>
      </c>
      <c r="H205" s="9" t="n">
        <v>1300</v>
      </c>
      <c r="I205" s="10" t="n">
        <f aca="false">IF(E205=0,0,(E205-H205)/E205)</f>
        <v>-0.428571428571429</v>
      </c>
      <c r="J205" s="6" t="str">
        <f aca="false">IF(E205&lt;G205,"LOSS",IF(E205&lt;H205*1.1,"THIN / RISK",IF(E205&gt;H205*1.8,"OVERPRICED?","OK")))</f>
        <v>LOSS</v>
      </c>
      <c r="K205" s="8" t="n">
        <f aca="false">IF(J205="OVERPRICED?",ROUND(H205*1.35,-1),MAX(E205,ROUND(H205*(1+$E$3),-1)))</f>
        <v>1500</v>
      </c>
      <c r="L205" s="8" t="n">
        <f aca="false">D205*E205</f>
        <v>1820</v>
      </c>
      <c r="M205" s="8" t="n">
        <f aca="false">D205*K205</f>
        <v>3000</v>
      </c>
      <c r="N205" s="8" t="n">
        <f aca="false">D205*H205</f>
        <v>2600</v>
      </c>
      <c r="O205" s="6" t="str">
        <f aca="false">IF(ISNUMBER(SEARCH(C205,F205)),"","YES")</f>
        <v>YES</v>
      </c>
      <c r="P205" s="6" t="s">
        <v>30</v>
      </c>
      <c r="Q205" s="7" t="s">
        <v>145</v>
      </c>
      <c r="R205" s="7" t="s">
        <v>32</v>
      </c>
    </row>
    <row r="206" customFormat="false" ht="15" hidden="false" customHeight="false" outlineLevel="0" collapsed="false">
      <c r="A206" s="6" t="n">
        <v>218</v>
      </c>
      <c r="B206" s="7" t="s">
        <v>398</v>
      </c>
      <c r="C206" s="6" t="s">
        <v>28</v>
      </c>
      <c r="D206" s="6" t="n">
        <v>2</v>
      </c>
      <c r="E206" s="8" t="n">
        <v>1170</v>
      </c>
      <c r="F206" s="7" t="s">
        <v>122</v>
      </c>
      <c r="G206" s="9" t="n">
        <v>1400</v>
      </c>
      <c r="H206" s="9" t="n">
        <v>1800</v>
      </c>
      <c r="I206" s="10" t="n">
        <f aca="false">IF(E206=0,0,(E206-H206)/E206)</f>
        <v>-0.538461538461538</v>
      </c>
      <c r="J206" s="6" t="str">
        <f aca="false">IF(E206&lt;G206,"LOSS",IF(E206&lt;H206*1.1,"THIN / RISK",IF(E206&gt;H206*1.8,"OVERPRICED?","OK")))</f>
        <v>LOSS</v>
      </c>
      <c r="K206" s="8" t="n">
        <f aca="false">IF(J206="OVERPRICED?",ROUND(H206*1.35,-1),MAX(E206,ROUND(H206*(1+$E$3),-1)))</f>
        <v>2070</v>
      </c>
      <c r="L206" s="8" t="n">
        <f aca="false">D206*E206</f>
        <v>2340</v>
      </c>
      <c r="M206" s="8" t="n">
        <f aca="false">D206*K206</f>
        <v>4140</v>
      </c>
      <c r="N206" s="8" t="n">
        <f aca="false">D206*H206</f>
        <v>3600</v>
      </c>
      <c r="O206" s="6" t="str">
        <f aca="false">IF(ISNUMBER(SEARCH(C206,F206)),"","YES")</f>
        <v>YES</v>
      </c>
      <c r="P206" s="6" t="s">
        <v>30</v>
      </c>
      <c r="Q206" s="7" t="s">
        <v>145</v>
      </c>
      <c r="R206" s="7" t="s">
        <v>32</v>
      </c>
    </row>
    <row r="207" customFormat="false" ht="15" hidden="false" customHeight="false" outlineLevel="0" collapsed="false">
      <c r="A207" s="6" t="n">
        <v>219</v>
      </c>
      <c r="B207" s="7" t="s">
        <v>399</v>
      </c>
      <c r="C207" s="6" t="s">
        <v>28</v>
      </c>
      <c r="D207" s="6" t="n">
        <v>1</v>
      </c>
      <c r="E207" s="8" t="n">
        <v>1040</v>
      </c>
      <c r="F207" s="7" t="s">
        <v>122</v>
      </c>
      <c r="G207" s="9" t="n">
        <v>1100</v>
      </c>
      <c r="H207" s="9" t="n">
        <v>1500</v>
      </c>
      <c r="I207" s="10" t="n">
        <f aca="false">IF(E207=0,0,(E207-H207)/E207)</f>
        <v>-0.442307692307692</v>
      </c>
      <c r="J207" s="6" t="str">
        <f aca="false">IF(E207&lt;G207,"LOSS",IF(E207&lt;H207*1.1,"THIN / RISK",IF(E207&gt;H207*1.8,"OVERPRICED?","OK")))</f>
        <v>LOSS</v>
      </c>
      <c r="K207" s="8" t="n">
        <f aca="false">IF(J207="OVERPRICED?",ROUND(H207*1.35,-1),MAX(E207,ROUND(H207*(1+$E$3),-1)))</f>
        <v>1730</v>
      </c>
      <c r="L207" s="8" t="n">
        <f aca="false">D207*E207</f>
        <v>1040</v>
      </c>
      <c r="M207" s="8" t="n">
        <f aca="false">D207*K207</f>
        <v>1730</v>
      </c>
      <c r="N207" s="8" t="n">
        <f aca="false">D207*H207</f>
        <v>1500</v>
      </c>
      <c r="O207" s="6" t="str">
        <f aca="false">IF(ISNUMBER(SEARCH(C207,F207)),"","YES")</f>
        <v>YES</v>
      </c>
      <c r="P207" s="6" t="s">
        <v>30</v>
      </c>
      <c r="Q207" s="7" t="s">
        <v>145</v>
      </c>
      <c r="R207" s="7" t="s">
        <v>32</v>
      </c>
    </row>
    <row r="208" customFormat="false" ht="15" hidden="false" customHeight="false" outlineLevel="0" collapsed="false">
      <c r="A208" s="6" t="n">
        <v>220</v>
      </c>
      <c r="B208" s="7" t="s">
        <v>400</v>
      </c>
      <c r="C208" s="6" t="s">
        <v>28</v>
      </c>
      <c r="D208" s="6" t="n">
        <v>1</v>
      </c>
      <c r="E208" s="8" t="n">
        <v>1430</v>
      </c>
      <c r="F208" s="7" t="s">
        <v>122</v>
      </c>
      <c r="G208" s="9" t="n">
        <v>1400</v>
      </c>
      <c r="H208" s="9" t="n">
        <v>1900</v>
      </c>
      <c r="I208" s="10" t="n">
        <f aca="false">IF(E208=0,0,(E208-H208)/E208)</f>
        <v>-0.328671328671329</v>
      </c>
      <c r="J208" s="6" t="str">
        <f aca="false">IF(E208&lt;G208,"LOSS",IF(E208&lt;H208*1.1,"THIN / RISK",IF(E208&gt;H208*1.8,"OVERPRICED?","OK")))</f>
        <v>THIN / RISK</v>
      </c>
      <c r="K208" s="8" t="n">
        <f aca="false">IF(J208="OVERPRICED?",ROUND(H208*1.35,-1),MAX(E208,ROUND(H208*(1+$E$3),-1)))</f>
        <v>2190</v>
      </c>
      <c r="L208" s="8" t="n">
        <f aca="false">D208*E208</f>
        <v>1430</v>
      </c>
      <c r="M208" s="8" t="n">
        <f aca="false">D208*K208</f>
        <v>2190</v>
      </c>
      <c r="N208" s="8" t="n">
        <f aca="false">D208*H208</f>
        <v>1900</v>
      </c>
      <c r="O208" s="6" t="str">
        <f aca="false">IF(ISNUMBER(SEARCH(C208,F208)),"","YES")</f>
        <v>YES</v>
      </c>
      <c r="P208" s="6" t="s">
        <v>30</v>
      </c>
      <c r="Q208" s="7" t="s">
        <v>145</v>
      </c>
      <c r="R208" s="7" t="s">
        <v>32</v>
      </c>
    </row>
    <row r="209" customFormat="false" ht="15" hidden="false" customHeight="false" outlineLevel="0" collapsed="false">
      <c r="A209" s="6" t="n">
        <v>221</v>
      </c>
      <c r="B209" s="7" t="s">
        <v>401</v>
      </c>
      <c r="C209" s="6" t="s">
        <v>28</v>
      </c>
      <c r="D209" s="6" t="n">
        <v>1</v>
      </c>
      <c r="E209" s="8" t="n">
        <v>1950</v>
      </c>
      <c r="F209" s="7" t="s">
        <v>122</v>
      </c>
      <c r="G209" s="9" t="n">
        <v>2000</v>
      </c>
      <c r="H209" s="9" t="n">
        <v>2600</v>
      </c>
      <c r="I209" s="10" t="n">
        <f aca="false">IF(E209=0,0,(E209-H209)/E209)</f>
        <v>-0.333333333333333</v>
      </c>
      <c r="J209" s="6" t="str">
        <f aca="false">IF(E209&lt;G209,"LOSS",IF(E209&lt;H209*1.1,"THIN / RISK",IF(E209&gt;H209*1.8,"OVERPRICED?","OK")))</f>
        <v>LOSS</v>
      </c>
      <c r="K209" s="8" t="n">
        <f aca="false">IF(J209="OVERPRICED?",ROUND(H209*1.35,-1),MAX(E209,ROUND(H209*(1+$E$3),-1)))</f>
        <v>2990</v>
      </c>
      <c r="L209" s="8" t="n">
        <f aca="false">D209*E209</f>
        <v>1950</v>
      </c>
      <c r="M209" s="8" t="n">
        <f aca="false">D209*K209</f>
        <v>2990</v>
      </c>
      <c r="N209" s="8" t="n">
        <f aca="false">D209*H209</f>
        <v>2600</v>
      </c>
      <c r="O209" s="6" t="str">
        <f aca="false">IF(ISNUMBER(SEARCH(C209,F209)),"","YES")</f>
        <v>YES</v>
      </c>
      <c r="P209" s="6" t="s">
        <v>30</v>
      </c>
      <c r="Q209" s="7" t="s">
        <v>145</v>
      </c>
      <c r="R209" s="7" t="s">
        <v>32</v>
      </c>
    </row>
    <row r="210" customFormat="false" ht="15" hidden="false" customHeight="false" outlineLevel="0" collapsed="false">
      <c r="A210" s="6" t="n">
        <v>222</v>
      </c>
      <c r="B210" s="7" t="s">
        <v>402</v>
      </c>
      <c r="C210" s="6" t="s">
        <v>28</v>
      </c>
      <c r="D210" s="6" t="n">
        <v>1</v>
      </c>
      <c r="E210" s="8" t="n">
        <v>15600</v>
      </c>
      <c r="F210" s="7" t="s">
        <v>403</v>
      </c>
      <c r="G210" s="9" t="n">
        <v>18000</v>
      </c>
      <c r="H210" s="9" t="n">
        <v>32000</v>
      </c>
      <c r="I210" s="10" t="n">
        <f aca="false">IF(E210=0,0,(E210-H210)/E210)</f>
        <v>-1.05128205128205</v>
      </c>
      <c r="J210" s="6" t="str">
        <f aca="false">IF(E210&lt;G210,"LOSS",IF(E210&lt;H210*1.1,"THIN / RISK",IF(E210&gt;H210*1.8,"OVERPRICED?","OK")))</f>
        <v>LOSS</v>
      </c>
      <c r="K210" s="8" t="n">
        <f aca="false">IF(J210="OVERPRICED?",ROUND(H210*1.35,-1),MAX(E210,ROUND(H210*(1+$E$3),-1)))</f>
        <v>36800</v>
      </c>
      <c r="L210" s="8" t="n">
        <f aca="false">D210*E210</f>
        <v>15600</v>
      </c>
      <c r="M210" s="8" t="n">
        <f aca="false">D210*K210</f>
        <v>36800</v>
      </c>
      <c r="N210" s="8" t="n">
        <f aca="false">D210*H210</f>
        <v>32000</v>
      </c>
      <c r="O210" s="6" t="str">
        <f aca="false">IF(ISNUMBER(SEARCH(C210,F210)),"","YES")</f>
        <v>YES</v>
      </c>
      <c r="P210" s="6" t="s">
        <v>30</v>
      </c>
      <c r="Q210" s="7" t="s">
        <v>145</v>
      </c>
      <c r="R210" s="7" t="s">
        <v>32</v>
      </c>
    </row>
    <row r="211" customFormat="false" ht="22.35" hidden="false" customHeight="false" outlineLevel="0" collapsed="false">
      <c r="A211" s="6" t="n">
        <v>223</v>
      </c>
      <c r="B211" s="7" t="s">
        <v>404</v>
      </c>
      <c r="C211" s="6" t="s">
        <v>28</v>
      </c>
      <c r="D211" s="6" t="n">
        <v>2</v>
      </c>
      <c r="E211" s="8" t="n">
        <v>30940</v>
      </c>
      <c r="F211" s="7" t="s">
        <v>157</v>
      </c>
      <c r="G211" s="9" t="n">
        <v>31300</v>
      </c>
      <c r="H211" s="9" t="n">
        <v>31300</v>
      </c>
      <c r="I211" s="10" t="n">
        <f aca="false">IF(E211=0,0,(E211-H211)/E211)</f>
        <v>-0.0116354234001293</v>
      </c>
      <c r="J211" s="6" t="str">
        <f aca="false">IF(E211&lt;G211,"LOSS",IF(E211&lt;H211*1.1,"THIN / RISK",IF(E211&gt;H211*1.8,"OVERPRICED?","OK")))</f>
        <v>LOSS</v>
      </c>
      <c r="K211" s="8" t="n">
        <f aca="false">IF(J211="OVERPRICED?",ROUND(H211*1.35,-1),MAX(E211,ROUND(H211*(1+$E$3),-1)))</f>
        <v>36000</v>
      </c>
      <c r="L211" s="8" t="n">
        <f aca="false">D211*E211</f>
        <v>61880</v>
      </c>
      <c r="M211" s="8" t="n">
        <f aca="false">D211*K211</f>
        <v>72000</v>
      </c>
      <c r="N211" s="8" t="n">
        <f aca="false">D211*H211</f>
        <v>62600</v>
      </c>
      <c r="O211" s="6" t="str">
        <f aca="false">IF(ISNUMBER(SEARCH(C211,F211)),"","YES")</f>
        <v>YES</v>
      </c>
      <c r="P211" s="6" t="s">
        <v>44</v>
      </c>
      <c r="Q211" s="7" t="s">
        <v>405</v>
      </c>
      <c r="R211" s="7"/>
    </row>
    <row r="212" customFormat="false" ht="22.35" hidden="false" customHeight="false" outlineLevel="0" collapsed="false">
      <c r="A212" s="6" t="n">
        <v>224</v>
      </c>
      <c r="B212" s="7" t="s">
        <v>406</v>
      </c>
      <c r="C212" s="6" t="s">
        <v>28</v>
      </c>
      <c r="D212" s="6" t="n">
        <v>2</v>
      </c>
      <c r="E212" s="8" t="n">
        <v>54600</v>
      </c>
      <c r="F212" s="7" t="s">
        <v>407</v>
      </c>
      <c r="G212" s="9" t="n">
        <v>85000</v>
      </c>
      <c r="H212" s="9" t="n">
        <v>110000</v>
      </c>
      <c r="I212" s="10" t="n">
        <f aca="false">IF(E212=0,0,(E212-H212)/E212)</f>
        <v>-1.01465201465201</v>
      </c>
      <c r="J212" s="6" t="str">
        <f aca="false">IF(E212&lt;G212,"LOSS",IF(E212&lt;H212*1.1,"THIN / RISK",IF(E212&gt;H212*1.8,"OVERPRICED?","OK")))</f>
        <v>LOSS</v>
      </c>
      <c r="K212" s="8" t="n">
        <f aca="false">IF(J212="OVERPRICED?",ROUND(H212*1.35,-1),MAX(E212,ROUND(H212*(1+$E$3),-1)))</f>
        <v>126500</v>
      </c>
      <c r="L212" s="8" t="n">
        <f aca="false">D212*E212</f>
        <v>109200</v>
      </c>
      <c r="M212" s="8" t="n">
        <f aca="false">D212*K212</f>
        <v>253000</v>
      </c>
      <c r="N212" s="8" t="n">
        <f aca="false">D212*H212</f>
        <v>220000</v>
      </c>
      <c r="O212" s="6" t="str">
        <f aca="false">IF(ISNUMBER(SEARCH(C212,F212)),"","YES")</f>
        <v>YES</v>
      </c>
      <c r="P212" s="6" t="s">
        <v>30</v>
      </c>
      <c r="Q212" s="7" t="s">
        <v>408</v>
      </c>
      <c r="R212" s="7" t="s">
        <v>409</v>
      </c>
    </row>
    <row r="213" customFormat="false" ht="15" hidden="false" customHeight="false" outlineLevel="0" collapsed="false">
      <c r="A213" s="6" t="n">
        <v>225</v>
      </c>
      <c r="B213" s="7" t="s">
        <v>410</v>
      </c>
      <c r="C213" s="6" t="s">
        <v>28</v>
      </c>
      <c r="D213" s="6" t="n">
        <v>24</v>
      </c>
      <c r="E213" s="8" t="n">
        <v>1170</v>
      </c>
      <c r="F213" s="7" t="s">
        <v>221</v>
      </c>
      <c r="G213" s="9" t="n">
        <v>1800</v>
      </c>
      <c r="H213" s="9" t="n">
        <v>2600</v>
      </c>
      <c r="I213" s="10" t="n">
        <f aca="false">IF(E213=0,0,(E213-H213)/E213)</f>
        <v>-1.22222222222222</v>
      </c>
      <c r="J213" s="6" t="str">
        <f aca="false">IF(E213&lt;G213,"LOSS",IF(E213&lt;H213*1.1,"THIN / RISK",IF(E213&gt;H213*1.8,"OVERPRICED?","OK")))</f>
        <v>LOSS</v>
      </c>
      <c r="K213" s="8" t="n">
        <f aca="false">IF(J213="OVERPRICED?",ROUND(H213*1.35,-1),MAX(E213,ROUND(H213*(1+$E$3),-1)))</f>
        <v>2990</v>
      </c>
      <c r="L213" s="8" t="n">
        <f aca="false">D213*E213</f>
        <v>28080</v>
      </c>
      <c r="M213" s="8" t="n">
        <f aca="false">D213*K213</f>
        <v>71760</v>
      </c>
      <c r="N213" s="8" t="n">
        <f aca="false">D213*H213</f>
        <v>62400</v>
      </c>
      <c r="O213" s="6" t="str">
        <f aca="false">IF(ISNUMBER(SEARCH(C213,F213)),"","YES")</f>
        <v>YES</v>
      </c>
      <c r="P213" s="6" t="s">
        <v>30</v>
      </c>
      <c r="Q213" s="7" t="s">
        <v>411</v>
      </c>
      <c r="R213" s="7" t="s">
        <v>32</v>
      </c>
    </row>
    <row r="214" customFormat="false" ht="15" hidden="false" customHeight="false" outlineLevel="0" collapsed="false">
      <c r="A214" s="6" t="n">
        <v>226</v>
      </c>
      <c r="B214" s="7" t="s">
        <v>412</v>
      </c>
      <c r="C214" s="6" t="s">
        <v>28</v>
      </c>
      <c r="D214" s="6" t="n">
        <v>24</v>
      </c>
      <c r="E214" s="8" t="n">
        <v>1430</v>
      </c>
      <c r="F214" s="7" t="s">
        <v>221</v>
      </c>
      <c r="G214" s="9" t="n">
        <v>2600</v>
      </c>
      <c r="H214" s="9" t="n">
        <v>3600</v>
      </c>
      <c r="I214" s="10" t="n">
        <f aca="false">IF(E214=0,0,(E214-H214)/E214)</f>
        <v>-1.51748251748252</v>
      </c>
      <c r="J214" s="6" t="str">
        <f aca="false">IF(E214&lt;G214,"LOSS",IF(E214&lt;H214*1.1,"THIN / RISK",IF(E214&gt;H214*1.8,"OVERPRICED?","OK")))</f>
        <v>LOSS</v>
      </c>
      <c r="K214" s="8" t="n">
        <f aca="false">IF(J214="OVERPRICED?",ROUND(H214*1.35,-1),MAX(E214,ROUND(H214*(1+$E$3),-1)))</f>
        <v>4140</v>
      </c>
      <c r="L214" s="8" t="n">
        <f aca="false">D214*E214</f>
        <v>34320</v>
      </c>
      <c r="M214" s="8" t="n">
        <f aca="false">D214*K214</f>
        <v>99360</v>
      </c>
      <c r="N214" s="8" t="n">
        <f aca="false">D214*H214</f>
        <v>86400</v>
      </c>
      <c r="O214" s="6" t="str">
        <f aca="false">IF(ISNUMBER(SEARCH(C214,F214)),"","YES")</f>
        <v>YES</v>
      </c>
      <c r="P214" s="6" t="s">
        <v>30</v>
      </c>
      <c r="Q214" s="7" t="s">
        <v>411</v>
      </c>
      <c r="R214" s="7" t="s">
        <v>32</v>
      </c>
    </row>
    <row r="215" customFormat="false" ht="15" hidden="false" customHeight="false" outlineLevel="0" collapsed="false">
      <c r="A215" s="6" t="n">
        <v>227</v>
      </c>
      <c r="B215" s="7" t="s">
        <v>413</v>
      </c>
      <c r="C215" s="6" t="s">
        <v>28</v>
      </c>
      <c r="D215" s="6" t="n">
        <v>24</v>
      </c>
      <c r="E215" s="8" t="n">
        <v>1820</v>
      </c>
      <c r="F215" s="7" t="s">
        <v>221</v>
      </c>
      <c r="G215" s="9" t="n">
        <v>3500</v>
      </c>
      <c r="H215" s="9" t="n">
        <v>4800</v>
      </c>
      <c r="I215" s="10" t="n">
        <f aca="false">IF(E215=0,0,(E215-H215)/E215)</f>
        <v>-1.63736263736264</v>
      </c>
      <c r="J215" s="6" t="str">
        <f aca="false">IF(E215&lt;G215,"LOSS",IF(E215&lt;H215*1.1,"THIN / RISK",IF(E215&gt;H215*1.8,"OVERPRICED?","OK")))</f>
        <v>LOSS</v>
      </c>
      <c r="K215" s="8" t="n">
        <f aca="false">IF(J215="OVERPRICED?",ROUND(H215*1.35,-1),MAX(E215,ROUND(H215*(1+$E$3),-1)))</f>
        <v>5520</v>
      </c>
      <c r="L215" s="8" t="n">
        <f aca="false">D215*E215</f>
        <v>43680</v>
      </c>
      <c r="M215" s="8" t="n">
        <f aca="false">D215*K215</f>
        <v>132480</v>
      </c>
      <c r="N215" s="8" t="n">
        <f aca="false">D215*H215</f>
        <v>115200</v>
      </c>
      <c r="O215" s="6" t="str">
        <f aca="false">IF(ISNUMBER(SEARCH(C215,F215)),"","YES")</f>
        <v>YES</v>
      </c>
      <c r="P215" s="6" t="s">
        <v>30</v>
      </c>
      <c r="Q215" s="7" t="s">
        <v>411</v>
      </c>
      <c r="R215" s="7" t="s">
        <v>32</v>
      </c>
    </row>
    <row r="216" customFormat="false" ht="15" hidden="false" customHeight="false" outlineLevel="0" collapsed="false">
      <c r="A216" s="6" t="n">
        <v>228</v>
      </c>
      <c r="B216" s="7" t="s">
        <v>414</v>
      </c>
      <c r="C216" s="6" t="s">
        <v>28</v>
      </c>
      <c r="D216" s="6" t="n">
        <v>24</v>
      </c>
      <c r="E216" s="8" t="n">
        <v>2860</v>
      </c>
      <c r="F216" s="7" t="s">
        <v>221</v>
      </c>
      <c r="G216" s="9" t="n">
        <v>6000</v>
      </c>
      <c r="H216" s="9" t="n">
        <v>8000</v>
      </c>
      <c r="I216" s="10" t="n">
        <f aca="false">IF(E216=0,0,(E216-H216)/E216)</f>
        <v>-1.7972027972028</v>
      </c>
      <c r="J216" s="6" t="str">
        <f aca="false">IF(E216&lt;G216,"LOSS",IF(E216&lt;H216*1.1,"THIN / RISK",IF(E216&gt;H216*1.8,"OVERPRICED?","OK")))</f>
        <v>LOSS</v>
      </c>
      <c r="K216" s="8" t="n">
        <f aca="false">IF(J216="OVERPRICED?",ROUND(H216*1.35,-1),MAX(E216,ROUND(H216*(1+$E$3),-1)))</f>
        <v>9200</v>
      </c>
      <c r="L216" s="8" t="n">
        <f aca="false">D216*E216</f>
        <v>68640</v>
      </c>
      <c r="M216" s="8" t="n">
        <f aca="false">D216*K216</f>
        <v>220800</v>
      </c>
      <c r="N216" s="8" t="n">
        <f aca="false">D216*H216</f>
        <v>192000</v>
      </c>
      <c r="O216" s="6" t="str">
        <f aca="false">IF(ISNUMBER(SEARCH(C216,F216)),"","YES")</f>
        <v>YES</v>
      </c>
      <c r="P216" s="6" t="s">
        <v>30</v>
      </c>
      <c r="Q216" s="7" t="s">
        <v>411</v>
      </c>
      <c r="R216" s="7" t="s">
        <v>32</v>
      </c>
    </row>
    <row r="217" customFormat="false" ht="15" hidden="false" customHeight="false" outlineLevel="0" collapsed="false">
      <c r="A217" s="6" t="n">
        <v>229</v>
      </c>
      <c r="B217" s="7" t="s">
        <v>415</v>
      </c>
      <c r="C217" s="6" t="s">
        <v>28</v>
      </c>
      <c r="D217" s="6" t="n">
        <v>24</v>
      </c>
      <c r="E217" s="8" t="n">
        <v>2340</v>
      </c>
      <c r="F217" s="7" t="s">
        <v>221</v>
      </c>
      <c r="G217" s="9" t="n">
        <v>3200</v>
      </c>
      <c r="H217" s="9" t="n">
        <v>4500</v>
      </c>
      <c r="I217" s="10" t="n">
        <f aca="false">IF(E217=0,0,(E217-H217)/E217)</f>
        <v>-0.923076923076923</v>
      </c>
      <c r="J217" s="6" t="str">
        <f aca="false">IF(E217&lt;G217,"LOSS",IF(E217&lt;H217*1.1,"THIN / RISK",IF(E217&gt;H217*1.8,"OVERPRICED?","OK")))</f>
        <v>LOSS</v>
      </c>
      <c r="K217" s="8" t="n">
        <f aca="false">IF(J217="OVERPRICED?",ROUND(H217*1.35,-1),MAX(E217,ROUND(H217*(1+$E$3),-1)))</f>
        <v>5180</v>
      </c>
      <c r="L217" s="8" t="n">
        <f aca="false">D217*E217</f>
        <v>56160</v>
      </c>
      <c r="M217" s="8" t="n">
        <f aca="false">D217*K217</f>
        <v>124320</v>
      </c>
      <c r="N217" s="8" t="n">
        <f aca="false">D217*H217</f>
        <v>108000</v>
      </c>
      <c r="O217" s="6" t="str">
        <f aca="false">IF(ISNUMBER(SEARCH(C217,F217)),"","YES")</f>
        <v>YES</v>
      </c>
      <c r="P217" s="6" t="s">
        <v>30</v>
      </c>
      <c r="Q217" s="7" t="s">
        <v>411</v>
      </c>
      <c r="R217" s="7" t="s">
        <v>32</v>
      </c>
    </row>
    <row r="218" customFormat="false" ht="22.35" hidden="false" customHeight="false" outlineLevel="0" collapsed="false">
      <c r="A218" s="6" t="n">
        <v>230</v>
      </c>
      <c r="B218" s="7" t="s">
        <v>416</v>
      </c>
      <c r="C218" s="6" t="s">
        <v>28</v>
      </c>
      <c r="D218" s="6" t="n">
        <v>1</v>
      </c>
      <c r="E218" s="8" t="n">
        <v>9750</v>
      </c>
      <c r="F218" s="7" t="s">
        <v>417</v>
      </c>
      <c r="G218" s="9" t="n">
        <v>5950</v>
      </c>
      <c r="H218" s="9" t="n">
        <v>5950</v>
      </c>
      <c r="I218" s="10" t="n">
        <f aca="false">IF(E218=0,0,(E218-H218)/E218)</f>
        <v>0.38974358974359</v>
      </c>
      <c r="J218" s="6" t="str">
        <f aca="false">IF(E218&lt;G218,"LOSS",IF(E218&lt;H218*1.1,"THIN / RISK",IF(E218&gt;H218*1.8,"OVERPRICED?","OK")))</f>
        <v>OK</v>
      </c>
      <c r="K218" s="8" t="n">
        <f aca="false">IF(J218="OVERPRICED?",ROUND(H218*1.35,-1),MAX(E218,ROUND(H218*(1+$E$3),-1)))</f>
        <v>9750</v>
      </c>
      <c r="L218" s="8" t="n">
        <f aca="false">D218*E218</f>
        <v>9750</v>
      </c>
      <c r="M218" s="8" t="n">
        <f aca="false">D218*K218</f>
        <v>9750</v>
      </c>
      <c r="N218" s="8" t="n">
        <f aca="false">D218*H218</f>
        <v>5950</v>
      </c>
      <c r="O218" s="6" t="str">
        <f aca="false">IF(ISNUMBER(SEARCH(C218,F218)),"","YES")</f>
        <v>YES</v>
      </c>
      <c r="P218" s="6" t="s">
        <v>24</v>
      </c>
      <c r="Q218" s="7" t="s">
        <v>418</v>
      </c>
      <c r="R218" s="7" t="s">
        <v>26</v>
      </c>
    </row>
    <row r="219" customFormat="false" ht="22.35" hidden="false" customHeight="false" outlineLevel="0" collapsed="false">
      <c r="A219" s="6" t="n">
        <v>231</v>
      </c>
      <c r="B219" s="7" t="s">
        <v>419</v>
      </c>
      <c r="C219" s="6" t="s">
        <v>28</v>
      </c>
      <c r="D219" s="6" t="n">
        <v>1</v>
      </c>
      <c r="E219" s="8" t="n">
        <v>12350</v>
      </c>
      <c r="F219" s="7" t="s">
        <v>417</v>
      </c>
      <c r="G219" s="9" t="n">
        <v>5950</v>
      </c>
      <c r="H219" s="9" t="n">
        <v>5950</v>
      </c>
      <c r="I219" s="10" t="n">
        <f aca="false">IF(E219=0,0,(E219-H219)/E219)</f>
        <v>0.518218623481781</v>
      </c>
      <c r="J219" s="6" t="str">
        <f aca="false">IF(E219&lt;G219,"LOSS",IF(E219&lt;H219*1.1,"THIN / RISK",IF(E219&gt;H219*1.8,"OVERPRICED?","OK")))</f>
        <v>OVERPRICED?</v>
      </c>
      <c r="K219" s="8" t="n">
        <f aca="false">IF(J219="OVERPRICED?",ROUND(H219*1.35,-1),MAX(E219,ROUND(H219*(1+$E$3),-1)))</f>
        <v>8030</v>
      </c>
      <c r="L219" s="8" t="n">
        <f aca="false">D219*E219</f>
        <v>12350</v>
      </c>
      <c r="M219" s="8" t="n">
        <f aca="false">D219*K219</f>
        <v>8030</v>
      </c>
      <c r="N219" s="8" t="n">
        <f aca="false">D219*H219</f>
        <v>5950</v>
      </c>
      <c r="O219" s="6" t="str">
        <f aca="false">IF(ISNUMBER(SEARCH(C219,F219)),"","YES")</f>
        <v>YES</v>
      </c>
      <c r="P219" s="6" t="s">
        <v>44</v>
      </c>
      <c r="Q219" s="7" t="s">
        <v>420</v>
      </c>
      <c r="R219" s="7"/>
    </row>
    <row r="220" customFormat="false" ht="22.35" hidden="false" customHeight="false" outlineLevel="0" collapsed="false">
      <c r="A220" s="6" t="n">
        <v>233</v>
      </c>
      <c r="B220" s="7" t="s">
        <v>421</v>
      </c>
      <c r="C220" s="6" t="s">
        <v>111</v>
      </c>
      <c r="D220" s="6" t="n">
        <v>2</v>
      </c>
      <c r="E220" s="8" t="n">
        <v>52000</v>
      </c>
      <c r="F220" s="7" t="s">
        <v>111</v>
      </c>
      <c r="G220" s="9" t="n">
        <v>40000</v>
      </c>
      <c r="H220" s="9" t="n">
        <v>40000</v>
      </c>
      <c r="I220" s="10" t="n">
        <f aca="false">IF(E220=0,0,(E220-H220)/E220)</f>
        <v>0.230769230769231</v>
      </c>
      <c r="J220" s="6" t="str">
        <f aca="false">IF(E220&lt;G220,"LOSS",IF(E220&lt;H220*1.1,"THIN / RISK",IF(E220&gt;H220*1.8,"OVERPRICED?","OK")))</f>
        <v>OK</v>
      </c>
      <c r="K220" s="8" t="n">
        <f aca="false">IF(J220="OVERPRICED?",ROUND(H220*1.35,-1),MAX(E220,ROUND(H220*(1+$E$3),-1)))</f>
        <v>52000</v>
      </c>
      <c r="L220" s="8" t="n">
        <f aca="false">D220*E220</f>
        <v>104000</v>
      </c>
      <c r="M220" s="8" t="n">
        <f aca="false">D220*K220</f>
        <v>104000</v>
      </c>
      <c r="N220" s="8" t="n">
        <f aca="false">D220*H220</f>
        <v>80000</v>
      </c>
      <c r="O220" s="6" t="str">
        <f aca="false">IF(ISNUMBER(SEARCH(C220,F220)),"","YES")</f>
        <v/>
      </c>
      <c r="P220" s="6" t="s">
        <v>44</v>
      </c>
      <c r="Q220" s="7" t="s">
        <v>422</v>
      </c>
      <c r="R220" s="7"/>
    </row>
    <row r="221" customFormat="false" ht="22.35" hidden="false" customHeight="false" outlineLevel="0" collapsed="false">
      <c r="A221" s="6" t="n">
        <v>234</v>
      </c>
      <c r="B221" s="7" t="s">
        <v>423</v>
      </c>
      <c r="C221" s="6" t="s">
        <v>22</v>
      </c>
      <c r="D221" s="6" t="n">
        <v>3</v>
      </c>
      <c r="E221" s="8" t="n">
        <v>3094</v>
      </c>
      <c r="F221" s="7" t="s">
        <v>43</v>
      </c>
      <c r="G221" s="9" t="n">
        <v>1740</v>
      </c>
      <c r="H221" s="9" t="n">
        <v>1740</v>
      </c>
      <c r="I221" s="10" t="n">
        <f aca="false">IF(E221=0,0,(E221-H221)/E221)</f>
        <v>0.437621202327085</v>
      </c>
      <c r="J221" s="6" t="str">
        <f aca="false">IF(E221&lt;G221,"LOSS",IF(E221&lt;H221*1.1,"THIN / RISK",IF(E221&gt;H221*1.8,"OVERPRICED?","OK")))</f>
        <v>OK</v>
      </c>
      <c r="K221" s="8" t="n">
        <f aca="false">IF(J221="OVERPRICED?",ROUND(H221*1.35,-1),MAX(E221,ROUND(H221*(1+$E$3),-1)))</f>
        <v>3094</v>
      </c>
      <c r="L221" s="8" t="n">
        <f aca="false">D221*E221</f>
        <v>9282</v>
      </c>
      <c r="M221" s="8" t="n">
        <f aca="false">D221*K221</f>
        <v>9282</v>
      </c>
      <c r="N221" s="8" t="n">
        <f aca="false">D221*H221</f>
        <v>5220</v>
      </c>
      <c r="O221" s="6" t="str">
        <f aca="false">IF(ISNUMBER(SEARCH(C221,F221)),"","YES")</f>
        <v>YES</v>
      </c>
      <c r="P221" s="6" t="s">
        <v>24</v>
      </c>
      <c r="Q221" s="7" t="s">
        <v>424</v>
      </c>
      <c r="R221" s="7" t="s">
        <v>26</v>
      </c>
    </row>
    <row r="222" customFormat="false" ht="22.35" hidden="false" customHeight="false" outlineLevel="0" collapsed="false">
      <c r="A222" s="6" t="n">
        <v>235</v>
      </c>
      <c r="B222" s="7" t="s">
        <v>425</v>
      </c>
      <c r="C222" s="6" t="s">
        <v>28</v>
      </c>
      <c r="D222" s="6" t="n">
        <v>3</v>
      </c>
      <c r="E222" s="8" t="n">
        <v>2860</v>
      </c>
      <c r="F222" s="7" t="s">
        <v>22</v>
      </c>
      <c r="G222" s="9" t="n">
        <v>500</v>
      </c>
      <c r="H222" s="9" t="n">
        <v>500</v>
      </c>
      <c r="I222" s="10" t="n">
        <f aca="false">IF(E222=0,0,(E222-H222)/E222)</f>
        <v>0.825174825174825</v>
      </c>
      <c r="J222" s="6" t="str">
        <f aca="false">IF(E222&lt;G222,"LOSS",IF(E222&lt;H222*1.1,"THIN / RISK",IF(E222&gt;H222*1.8,"OVERPRICED?","OK")))</f>
        <v>OVERPRICED?</v>
      </c>
      <c r="K222" s="8" t="n">
        <f aca="false">IF(J222="OVERPRICED?",ROUND(H222*1.35,-1),MAX(E222,ROUND(H222*(1+$E$3),-1)))</f>
        <v>680</v>
      </c>
      <c r="L222" s="8" t="n">
        <f aca="false">D222*E222</f>
        <v>8580</v>
      </c>
      <c r="M222" s="8" t="n">
        <f aca="false">D222*K222</f>
        <v>2040</v>
      </c>
      <c r="N222" s="8" t="n">
        <f aca="false">D222*H222</f>
        <v>1500</v>
      </c>
      <c r="O222" s="6" t="str">
        <f aca="false">IF(ISNUMBER(SEARCH(C222,F222)),"","YES")</f>
        <v>YES</v>
      </c>
      <c r="P222" s="6" t="s">
        <v>24</v>
      </c>
      <c r="Q222" s="7" t="s">
        <v>426</v>
      </c>
      <c r="R222" s="7" t="s">
        <v>26</v>
      </c>
    </row>
    <row r="223" customFormat="false" ht="22.35" hidden="false" customHeight="false" outlineLevel="0" collapsed="false">
      <c r="A223" s="6" t="n">
        <v>236</v>
      </c>
      <c r="B223" s="7" t="s">
        <v>427</v>
      </c>
      <c r="C223" s="6" t="s">
        <v>22</v>
      </c>
      <c r="D223" s="6" t="n">
        <v>200</v>
      </c>
      <c r="E223" s="8" t="n">
        <v>2860</v>
      </c>
      <c r="F223" s="7" t="s">
        <v>428</v>
      </c>
      <c r="G223" s="9" t="n">
        <v>2400</v>
      </c>
      <c r="H223" s="9" t="n">
        <v>3200</v>
      </c>
      <c r="I223" s="10" t="n">
        <f aca="false">IF(E223=0,0,(E223-H223)/E223)</f>
        <v>-0.118881118881119</v>
      </c>
      <c r="J223" s="6" t="str">
        <f aca="false">IF(E223&lt;G223,"LOSS",IF(E223&lt;H223*1.1,"THIN / RISK",IF(E223&gt;H223*1.8,"OVERPRICED?","OK")))</f>
        <v>THIN / RISK</v>
      </c>
      <c r="K223" s="8" t="n">
        <f aca="false">IF(J223="OVERPRICED?",ROUND(H223*1.35,-1),MAX(E223,ROUND(H223*(1+$E$3),-1)))</f>
        <v>3680</v>
      </c>
      <c r="L223" s="8" t="n">
        <f aca="false">D223*E223</f>
        <v>572000</v>
      </c>
      <c r="M223" s="8" t="n">
        <f aca="false">D223*K223</f>
        <v>736000</v>
      </c>
      <c r="N223" s="8" t="n">
        <f aca="false">D223*H223</f>
        <v>640000</v>
      </c>
      <c r="O223" s="6" t="str">
        <f aca="false">IF(ISNUMBER(SEARCH(C223,F223)),"","YES")</f>
        <v/>
      </c>
      <c r="P223" s="6" t="s">
        <v>30</v>
      </c>
      <c r="Q223" s="7" t="s">
        <v>429</v>
      </c>
      <c r="R223" s="7" t="s">
        <v>430</v>
      </c>
    </row>
    <row r="224" customFormat="false" ht="22.35" hidden="false" customHeight="false" outlineLevel="0" collapsed="false">
      <c r="A224" s="6" t="n">
        <v>237</v>
      </c>
      <c r="B224" s="7" t="s">
        <v>431</v>
      </c>
      <c r="C224" s="6" t="s">
        <v>28</v>
      </c>
      <c r="D224" s="6" t="n">
        <v>24</v>
      </c>
      <c r="E224" s="8" t="n">
        <v>845</v>
      </c>
      <c r="F224" s="7" t="s">
        <v>22</v>
      </c>
      <c r="G224" s="9" t="n">
        <v>150</v>
      </c>
      <c r="H224" s="9" t="n">
        <v>150</v>
      </c>
      <c r="I224" s="10" t="n">
        <f aca="false">IF(E224=0,0,(E224-H224)/E224)</f>
        <v>0.822485207100592</v>
      </c>
      <c r="J224" s="6" t="str">
        <f aca="false">IF(E224&lt;G224,"LOSS",IF(E224&lt;H224*1.1,"THIN / RISK",IF(E224&gt;H224*1.8,"OVERPRICED?","OK")))</f>
        <v>OVERPRICED?</v>
      </c>
      <c r="K224" s="8" t="n">
        <f aca="false">IF(J224="OVERPRICED?",ROUND(H224*1.35,-1),MAX(E224,ROUND(H224*(1+$E$3),-1)))</f>
        <v>200</v>
      </c>
      <c r="L224" s="8" t="n">
        <f aca="false">D224*E224</f>
        <v>20280</v>
      </c>
      <c r="M224" s="8" t="n">
        <f aca="false">D224*K224</f>
        <v>4800</v>
      </c>
      <c r="N224" s="8" t="n">
        <f aca="false">D224*H224</f>
        <v>3600</v>
      </c>
      <c r="O224" s="6" t="str">
        <f aca="false">IF(ISNUMBER(SEARCH(C224,F224)),"","YES")</f>
        <v>YES</v>
      </c>
      <c r="P224" s="6" t="s">
        <v>24</v>
      </c>
      <c r="Q224" s="7" t="s">
        <v>432</v>
      </c>
      <c r="R224" s="7" t="s">
        <v>26</v>
      </c>
    </row>
    <row r="225" customFormat="false" ht="15" hidden="false" customHeight="false" outlineLevel="0" collapsed="false">
      <c r="A225" s="6" t="n">
        <v>238</v>
      </c>
      <c r="B225" s="7" t="s">
        <v>433</v>
      </c>
      <c r="C225" s="6" t="s">
        <v>28</v>
      </c>
      <c r="D225" s="6" t="n">
        <v>6</v>
      </c>
      <c r="E225" s="8" t="n">
        <v>8450</v>
      </c>
      <c r="F225" s="7" t="s">
        <v>434</v>
      </c>
      <c r="G225" s="9" t="n">
        <v>7800</v>
      </c>
      <c r="H225" s="9" t="n">
        <v>7800</v>
      </c>
      <c r="I225" s="10" t="n">
        <f aca="false">IF(E225=0,0,(E225-H225)/E225)</f>
        <v>0.0769230769230769</v>
      </c>
      <c r="J225" s="6" t="str">
        <f aca="false">IF(E225&lt;G225,"LOSS",IF(E225&lt;H225*1.1,"THIN / RISK",IF(E225&gt;H225*1.8,"OVERPRICED?","OK")))</f>
        <v>THIN / RISK</v>
      </c>
      <c r="K225" s="8" t="n">
        <f aca="false">IF(J225="OVERPRICED?",ROUND(H225*1.35,-1),MAX(E225,ROUND(H225*(1+$E$3),-1)))</f>
        <v>8970</v>
      </c>
      <c r="L225" s="8" t="n">
        <f aca="false">D225*E225</f>
        <v>50700</v>
      </c>
      <c r="M225" s="8" t="n">
        <f aca="false">D225*K225</f>
        <v>53820</v>
      </c>
      <c r="N225" s="8" t="n">
        <f aca="false">D225*H225</f>
        <v>46800</v>
      </c>
      <c r="O225" s="6" t="str">
        <f aca="false">IF(ISNUMBER(SEARCH(C225,F225)),"","YES")</f>
        <v>YES</v>
      </c>
      <c r="P225" s="6" t="s">
        <v>44</v>
      </c>
      <c r="Q225" s="7" t="s">
        <v>435</v>
      </c>
      <c r="R225" s="7"/>
    </row>
    <row r="226" customFormat="false" ht="22.35" hidden="false" customHeight="false" outlineLevel="0" collapsed="false">
      <c r="A226" s="6" t="n">
        <v>239</v>
      </c>
      <c r="B226" s="7" t="s">
        <v>436</v>
      </c>
      <c r="C226" s="6" t="s">
        <v>111</v>
      </c>
      <c r="D226" s="6" t="n">
        <v>50</v>
      </c>
      <c r="E226" s="8" t="n">
        <v>65000</v>
      </c>
      <c r="F226" s="7" t="s">
        <v>111</v>
      </c>
      <c r="G226" s="9" t="n">
        <v>44000</v>
      </c>
      <c r="H226" s="9" t="n">
        <v>44000</v>
      </c>
      <c r="I226" s="10" t="n">
        <f aca="false">IF(E226=0,0,(E226-H226)/E226)</f>
        <v>0.323076923076923</v>
      </c>
      <c r="J226" s="6" t="str">
        <f aca="false">IF(E226&lt;G226,"LOSS",IF(E226&lt;H226*1.1,"THIN / RISK",IF(E226&gt;H226*1.8,"OVERPRICED?","OK")))</f>
        <v>OK</v>
      </c>
      <c r="K226" s="8" t="n">
        <f aca="false">IF(J226="OVERPRICED?",ROUND(H226*1.35,-1),MAX(E226,ROUND(H226*(1+$E$3),-1)))</f>
        <v>65000</v>
      </c>
      <c r="L226" s="8" t="n">
        <f aca="false">D226*E226</f>
        <v>3250000</v>
      </c>
      <c r="M226" s="8" t="n">
        <f aca="false">D226*K226</f>
        <v>3250000</v>
      </c>
      <c r="N226" s="8" t="n">
        <f aca="false">D226*H226</f>
        <v>2200000</v>
      </c>
      <c r="O226" s="6" t="str">
        <f aca="false">IF(ISNUMBER(SEARCH(C226,F226)),"","YES")</f>
        <v/>
      </c>
      <c r="P226" s="6" t="s">
        <v>44</v>
      </c>
      <c r="Q226" s="7" t="s">
        <v>437</v>
      </c>
      <c r="R226" s="7"/>
    </row>
    <row r="227" customFormat="false" ht="22.35" hidden="false" customHeight="false" outlineLevel="0" collapsed="false">
      <c r="A227" s="6" t="n">
        <v>240</v>
      </c>
      <c r="B227" s="7" t="s">
        <v>438</v>
      </c>
      <c r="C227" s="6" t="s">
        <v>28</v>
      </c>
      <c r="D227" s="6" t="n">
        <v>50</v>
      </c>
      <c r="E227" s="8" t="n">
        <v>325</v>
      </c>
      <c r="F227" s="7" t="s">
        <v>38</v>
      </c>
      <c r="G227" s="9" t="n">
        <v>900</v>
      </c>
      <c r="H227" s="9" t="n">
        <v>1300</v>
      </c>
      <c r="I227" s="10" t="n">
        <f aca="false">IF(E227=0,0,(E227-H227)/E227)</f>
        <v>-3</v>
      </c>
      <c r="J227" s="6" t="str">
        <f aca="false">IF(E227&lt;G227,"LOSS",IF(E227&lt;H227*1.1,"THIN / RISK",IF(E227&gt;H227*1.8,"OVERPRICED?","OK")))</f>
        <v>LOSS</v>
      </c>
      <c r="K227" s="8" t="n">
        <f aca="false">IF(J227="OVERPRICED?",ROUND(H227*1.35,-1),MAX(E227,ROUND(H227*(1+$E$3),-1)))</f>
        <v>1500</v>
      </c>
      <c r="L227" s="8" t="n">
        <f aca="false">D227*E227</f>
        <v>16250</v>
      </c>
      <c r="M227" s="8" t="n">
        <f aca="false">D227*K227</f>
        <v>75000</v>
      </c>
      <c r="N227" s="8" t="n">
        <f aca="false">D227*H227</f>
        <v>65000</v>
      </c>
      <c r="O227" s="6" t="str">
        <f aca="false">IF(ISNUMBER(SEARCH(C227,F227)),"","YES")</f>
        <v>YES</v>
      </c>
      <c r="P227" s="6" t="s">
        <v>30</v>
      </c>
      <c r="Q227" s="7" t="s">
        <v>439</v>
      </c>
      <c r="R227" s="7" t="s">
        <v>440</v>
      </c>
    </row>
    <row r="228" customFormat="false" ht="15" hidden="false" customHeight="false" outlineLevel="0" collapsed="false">
      <c r="B228" s="3" t="s">
        <v>441</v>
      </c>
      <c r="L228" s="11" t="n">
        <f aca="false">SUM(L6:L227)</f>
        <v>12209508</v>
      </c>
      <c r="M228" s="11" t="n">
        <f aca="false">SUM(M6:M227)</f>
        <v>14661411</v>
      </c>
      <c r="N228" s="11" t="n">
        <f aca="false">SUM(N6:N227)</f>
        <v>11614372</v>
      </c>
    </row>
  </sheetData>
  <autoFilter ref="A5:R227"/>
  <conditionalFormatting sqref="J6:J227">
    <cfRule type="expression" priority="2" aboveAverage="0" equalAverage="0" bottom="0" percent="0" rank="0" text="" dxfId="9">
      <formula>J6="LOSS"</formula>
    </cfRule>
    <cfRule type="expression" priority="3" aboveAverage="0" equalAverage="0" bottom="0" percent="0" rank="0" text="" dxfId="10">
      <formula>J6="THIN / RISK"</formula>
    </cfRule>
    <cfRule type="expression" priority="4" aboveAverage="0" equalAverage="0" bottom="0" percent="0" rank="0" text="" dxfId="11">
      <formula>J6="OVERPRICED?"</formula>
    </cfRule>
    <cfRule type="expression" priority="5" aboveAverage="0" equalAverage="0" bottom="0" percent="0" rank="0" text="" dxfId="12">
      <formula>J6="OK"</formula>
    </cfRule>
  </conditionalFormatting>
  <conditionalFormatting sqref="O6:O227">
    <cfRule type="expression" priority="6" aboveAverage="0" equalAverage="0" bottom="0" percent="0" rank="0" text="" dxfId="10">
      <formula>O6="YES"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18"/>
  </cols>
  <sheetData>
    <row r="1" customFormat="false" ht="16.15" hidden="false" customHeight="false" outlineLevel="0" collapsed="false">
      <c r="A1" s="12" t="s">
        <v>442</v>
      </c>
    </row>
    <row r="3" customFormat="false" ht="15" hidden="false" customHeight="false" outlineLevel="0" collapsed="false">
      <c r="A3" s="13" t="s">
        <v>443</v>
      </c>
      <c r="B3" s="11" t="n">
        <f aca="false">COUNTA('Rate Check'!A6:A227)</f>
        <v>222</v>
      </c>
    </row>
    <row r="4" customFormat="false" ht="15" hidden="false" customHeight="false" outlineLevel="0" collapsed="false">
      <c r="A4" s="13" t="s">
        <v>444</v>
      </c>
      <c r="B4" s="11" t="n">
        <f aca="false">COUNTIF('Rate Check'!J6:J227,"LOSS")</f>
        <v>77</v>
      </c>
    </row>
    <row r="5" customFormat="false" ht="15" hidden="false" customHeight="false" outlineLevel="0" collapsed="false">
      <c r="A5" s="13" t="s">
        <v>445</v>
      </c>
      <c r="B5" s="11" t="n">
        <f aca="false">COUNTIF('Rate Check'!J6:J227,"THIN / RISK")</f>
        <v>45</v>
      </c>
    </row>
    <row r="6" customFormat="false" ht="15" hidden="false" customHeight="false" outlineLevel="0" collapsed="false">
      <c r="A6" s="13" t="s">
        <v>446</v>
      </c>
      <c r="B6" s="11" t="n">
        <f aca="false">COUNTIF('Rate Check'!J6:J227,"OK")</f>
        <v>78</v>
      </c>
    </row>
    <row r="7" customFormat="false" ht="15" hidden="false" customHeight="false" outlineLevel="0" collapsed="false">
      <c r="A7" s="13" t="s">
        <v>447</v>
      </c>
      <c r="B7" s="11" t="n">
        <f aca="false">COUNTIF('Rate Check'!J6:J227,"OVERPRICED?")</f>
        <v>22</v>
      </c>
    </row>
    <row r="8" customFormat="false" ht="15" hidden="false" customHeight="false" outlineLevel="0" collapsed="false">
      <c r="A8" s="13" t="s">
        <v>448</v>
      </c>
      <c r="B8" s="11" t="n">
        <f aca="false">COUNTIF('Rate Check'!O6:O227,"YES")</f>
        <v>158</v>
      </c>
    </row>
    <row r="9" customFormat="false" ht="15" hidden="false" customHeight="false" outlineLevel="0" collapsed="false">
      <c r="A9" s="13"/>
    </row>
    <row r="10" customFormat="false" ht="15" hidden="false" customHeight="false" outlineLevel="0" collapsed="false">
      <c r="A10" s="13" t="s">
        <v>449</v>
      </c>
      <c r="B10" s="11" t="n">
        <f aca="false">'Rate Check'!L228</f>
        <v>12209508</v>
      </c>
    </row>
    <row r="11" customFormat="false" ht="15" hidden="false" customHeight="false" outlineLevel="0" collapsed="false">
      <c r="A11" s="13" t="s">
        <v>450</v>
      </c>
      <c r="B11" s="11" t="n">
        <f aca="false">'Rate Check'!N228</f>
        <v>11614372</v>
      </c>
    </row>
    <row r="12" customFormat="false" ht="15" hidden="false" customHeight="false" outlineLevel="0" collapsed="false">
      <c r="A12" s="13" t="s">
        <v>451</v>
      </c>
      <c r="B12" s="11" t="n">
        <f aca="false">B10-B11</f>
        <v>595136</v>
      </c>
    </row>
    <row r="13" customFormat="false" ht="15" hidden="false" customHeight="false" outlineLevel="0" collapsed="false">
      <c r="A13" s="13" t="s">
        <v>452</v>
      </c>
      <c r="B13" s="14" t="n">
        <f aca="false">IF(B10=0,0,B12/B10)</f>
        <v>0.04874365125933</v>
      </c>
    </row>
    <row r="14" customFormat="false" ht="15" hidden="false" customHeight="false" outlineLevel="0" collapsed="false">
      <c r="A14" s="13" t="s">
        <v>453</v>
      </c>
      <c r="B14" s="11" t="n">
        <f aca="false">SUMPRODUCT(('Rate Check'!E6:E227&lt;'Rate Check'!H6:H227)*('Rate Check'!H6:H227-'Rate Check'!E6:E227)*'Rate Check'!D6:D227)</f>
        <v>2412436</v>
      </c>
    </row>
    <row r="15" customFormat="false" ht="15" hidden="false" customHeight="false" outlineLevel="0" collapsed="false">
      <c r="A15" s="13"/>
    </row>
    <row r="16" customFormat="false" ht="15" hidden="false" customHeight="false" outlineLevel="0" collapsed="false">
      <c r="A16" s="13" t="s">
        <v>454</v>
      </c>
      <c r="B16" s="11" t="n">
        <f aca="false">'Rate Check'!M228</f>
        <v>14661411</v>
      </c>
    </row>
    <row r="17" customFormat="false" ht="15" hidden="false" customHeight="false" outlineLevel="0" collapsed="false">
      <c r="A17" s="13" t="s">
        <v>455</v>
      </c>
      <c r="B17" s="14" t="n">
        <f aca="false">IF(B16=0,0,(B16-B11)/B16)</f>
        <v>0.207827132054343</v>
      </c>
    </row>
    <row r="18" customFormat="false" ht="15" hidden="false" customHeight="false" outlineLevel="0" collapsed="false">
      <c r="A18" s="13"/>
    </row>
    <row r="19" customFormat="false" ht="15" hidden="false" customHeight="false" outlineLevel="0" collapsed="false">
      <c r="A19" s="13" t="s">
        <v>456</v>
      </c>
      <c r="B19" s="11" t="n">
        <f aca="false">COUNTIF('Rate Check'!P6:P227,"V")</f>
        <v>75</v>
      </c>
    </row>
    <row r="20" customFormat="false" ht="15" hidden="false" customHeight="false" outlineLevel="0" collapsed="false">
      <c r="A20" s="13" t="s">
        <v>457</v>
      </c>
      <c r="B20" s="11" t="n">
        <f aca="false">COUNTIF('Rate Check'!P6:P227,"S")</f>
        <v>25</v>
      </c>
    </row>
    <row r="21" customFormat="false" ht="15" hidden="false" customHeight="false" outlineLevel="0" collapsed="false">
      <c r="A21" s="13" t="s">
        <v>458</v>
      </c>
      <c r="B21" s="11" t="n">
        <f aca="false">COUNTIF('Rate Check'!P6:P227,"N")</f>
        <v>122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5"/>
    <col collapsed="false" customWidth="true" hidden="false" outlineLevel="0" max="2" min="2" style="0" width="95"/>
  </cols>
  <sheetData>
    <row r="1" customFormat="false" ht="15" hidden="false" customHeight="false" outlineLevel="0" collapsed="false">
      <c r="A1" s="3" t="s">
        <v>459</v>
      </c>
    </row>
    <row r="3" customFormat="false" ht="15" hidden="false" customHeight="false" outlineLevel="0" collapsed="false">
      <c r="A3" s="13" t="s">
        <v>460</v>
      </c>
      <c r="B3" s="15" t="s">
        <v>461</v>
      </c>
    </row>
    <row r="4" customFormat="false" ht="15" hidden="false" customHeight="false" outlineLevel="0" collapsed="false">
      <c r="A4" s="13" t="s">
        <v>462</v>
      </c>
      <c r="B4" s="15" t="s">
        <v>463</v>
      </c>
    </row>
    <row r="5" customFormat="false" ht="15" hidden="false" customHeight="false" outlineLevel="0" collapsed="false">
      <c r="A5" s="13" t="s">
        <v>464</v>
      </c>
      <c r="B5" s="15" t="s">
        <v>465</v>
      </c>
    </row>
    <row r="6" customFormat="false" ht="15" hidden="false" customHeight="false" outlineLevel="0" collapsed="false">
      <c r="A6" s="13" t="s">
        <v>466</v>
      </c>
      <c r="B6" s="15" t="s">
        <v>467</v>
      </c>
    </row>
    <row r="7" customFormat="false" ht="15" hidden="false" customHeight="false" outlineLevel="0" collapsed="false">
      <c r="A7" s="13" t="s">
        <v>468</v>
      </c>
      <c r="B7" s="15" t="s">
        <v>469</v>
      </c>
    </row>
    <row r="8" customFormat="false" ht="15" hidden="false" customHeight="false" outlineLevel="0" collapsed="false">
      <c r="A8" s="13" t="s">
        <v>470</v>
      </c>
      <c r="B8" s="15" t="s">
        <v>471</v>
      </c>
    </row>
    <row r="9" customFormat="false" ht="15" hidden="false" customHeight="false" outlineLevel="0" collapsed="false">
      <c r="A9" s="13" t="s">
        <v>472</v>
      </c>
      <c r="B9" s="15" t="s">
        <v>473</v>
      </c>
    </row>
    <row r="10" customFormat="false" ht="15" hidden="false" customHeight="false" outlineLevel="0" collapsed="false">
      <c r="A10" s="13" t="s">
        <v>474</v>
      </c>
      <c r="B10" s="15" t="s">
        <v>475</v>
      </c>
    </row>
    <row r="11" customFormat="false" ht="15" hidden="false" customHeight="false" outlineLevel="0" collapsed="false">
      <c r="A11" s="13" t="s">
        <v>476</v>
      </c>
      <c r="B11" s="15" t="s">
        <v>477</v>
      </c>
    </row>
    <row r="12" customFormat="false" ht="15" hidden="false" customHeight="false" outlineLevel="0" collapsed="false">
      <c r="A12" s="13" t="s">
        <v>478</v>
      </c>
      <c r="B12" s="15" t="s">
        <v>479</v>
      </c>
    </row>
    <row r="13" customFormat="false" ht="15" hidden="false" customHeight="false" outlineLevel="0" collapsed="false">
      <c r="A13" s="13" t="s">
        <v>480</v>
      </c>
      <c r="B13" s="15" t="s">
        <v>481</v>
      </c>
    </row>
    <row r="14" customFormat="false" ht="15" hidden="false" customHeight="false" outlineLevel="0" collapsed="false">
      <c r="A14" s="13" t="s">
        <v>482</v>
      </c>
      <c r="B14" s="15" t="s">
        <v>483</v>
      </c>
    </row>
    <row r="15" customFormat="false" ht="15" hidden="false" customHeight="false" outlineLevel="0" collapsed="false">
      <c r="A15" s="13" t="s">
        <v>484</v>
      </c>
      <c r="B15" s="15" t="s">
        <v>485</v>
      </c>
    </row>
    <row r="16" customFormat="false" ht="15" hidden="false" customHeight="false" outlineLevel="0" collapsed="false">
      <c r="A16" s="13" t="s">
        <v>486</v>
      </c>
      <c r="B16" s="15" t="s">
        <v>487</v>
      </c>
    </row>
    <row r="17" customFormat="false" ht="15" hidden="false" customHeight="false" outlineLevel="0" collapsed="false">
      <c r="A17" s="13" t="s">
        <v>488</v>
      </c>
      <c r="B17" s="15" t="s">
        <v>489</v>
      </c>
    </row>
    <row r="18" customFormat="false" ht="15" hidden="false" customHeight="false" outlineLevel="0" collapsed="false">
      <c r="A18" s="13" t="s">
        <v>490</v>
      </c>
      <c r="B18" s="15" t="s">
        <v>491</v>
      </c>
    </row>
    <row r="19" customFormat="false" ht="15" hidden="false" customHeight="false" outlineLevel="0" collapsed="false">
      <c r="A19" s="13" t="s">
        <v>492</v>
      </c>
      <c r="B19" s="15" t="s">
        <v>493</v>
      </c>
    </row>
    <row r="20" customFormat="false" ht="15" hidden="false" customHeight="false" outlineLevel="0" collapsed="false">
      <c r="A20" s="13" t="s">
        <v>494</v>
      </c>
      <c r="B20" s="15" t="s">
        <v>495</v>
      </c>
    </row>
    <row r="21" customFormat="false" ht="15" hidden="false" customHeight="false" outlineLevel="0" collapsed="false">
      <c r="A21" s="13" t="s">
        <v>496</v>
      </c>
      <c r="B21" s="15" t="s">
        <v>497</v>
      </c>
    </row>
    <row r="22" customFormat="false" ht="15" hidden="false" customHeight="false" outlineLevel="0" collapsed="false">
      <c r="A22" s="13" t="s">
        <v>498</v>
      </c>
      <c r="B22" s="15" t="s">
        <v>499</v>
      </c>
    </row>
    <row r="23" customFormat="false" ht="15" hidden="false" customHeight="false" outlineLevel="0" collapsed="false">
      <c r="A23" s="13" t="s">
        <v>500</v>
      </c>
      <c r="B23" s="15" t="s">
        <v>501</v>
      </c>
    </row>
    <row r="24" customFormat="false" ht="15" hidden="false" customHeight="false" outlineLevel="0" collapsed="false">
      <c r="A24" s="13" t="s">
        <v>502</v>
      </c>
      <c r="B24" s="15" t="s">
        <v>503</v>
      </c>
    </row>
    <row r="25" customFormat="false" ht="15" hidden="false" customHeight="false" outlineLevel="0" collapsed="false">
      <c r="A25" s="13" t="s">
        <v>504</v>
      </c>
      <c r="B25" s="15" t="s">
        <v>505</v>
      </c>
    </row>
    <row r="26" customFormat="false" ht="15" hidden="false" customHeight="false" outlineLevel="0" collapsed="false">
      <c r="A26" s="13" t="s">
        <v>506</v>
      </c>
      <c r="B26" s="15" t="s">
        <v>507</v>
      </c>
    </row>
    <row r="27" customFormat="false" ht="15" hidden="false" customHeight="false" outlineLevel="0" collapsed="false">
      <c r="A27" s="13" t="s">
        <v>508</v>
      </c>
      <c r="B27" s="15" t="s">
        <v>509</v>
      </c>
    </row>
    <row r="28" customFormat="false" ht="15" hidden="false" customHeight="false" outlineLevel="0" collapsed="false">
      <c r="A28" s="13" t="s">
        <v>510</v>
      </c>
      <c r="B28" s="15" t="s">
        <v>511</v>
      </c>
    </row>
    <row r="29" customFormat="false" ht="15" hidden="false" customHeight="false" outlineLevel="0" collapsed="false">
      <c r="A29" s="13" t="s">
        <v>512</v>
      </c>
      <c r="B29" s="15" t="s">
        <v>513</v>
      </c>
    </row>
    <row r="30" customFormat="false" ht="15" hidden="false" customHeight="false" outlineLevel="0" collapsed="false">
      <c r="A30" s="13" t="s">
        <v>514</v>
      </c>
      <c r="B30" s="15" t="s">
        <v>515</v>
      </c>
    </row>
    <row r="31" customFormat="false" ht="15" hidden="false" customHeight="false" outlineLevel="0" collapsed="false">
      <c r="A31" s="13" t="s">
        <v>516</v>
      </c>
      <c r="B31" s="15" t="s">
        <v>517</v>
      </c>
    </row>
    <row r="32" customFormat="false" ht="15" hidden="false" customHeight="false" outlineLevel="0" collapsed="false">
      <c r="A32" s="13" t="s">
        <v>518</v>
      </c>
      <c r="B32" s="15" t="s">
        <v>519</v>
      </c>
    </row>
  </sheetData>
  <hyperlinks>
    <hyperlink ref="B3" r:id="rId1" display="https://www.toolsmart.pk/collections/licota"/>
    <hyperlink ref="B4" r:id="rId2" display="https://www.toolsmart.pk/products/licota-18-heavy-duty-ridgid-type-pipe-wrench-cr-mo"/>
    <hyperlink ref="B5" r:id="rId3" display="https://www.toolsmart.pk/products/licota-9pcs-extra-long-type-hex-key-set"/>
    <hyperlink ref="B6" r:id="rId4" display="https://www.toolsmart.pk/products/licota-120pcs-1-4-3-8-1-2-dr-socket-set"/>
    <hyperlink ref="B7" r:id="rId5" display="https://www.toolsmart.pk/collections/all-tools/grease-gun"/>
    <hyperlink ref="B8" r:id="rId6" display="https://kamadi.pk/products/gds-18v-1000-bosch-cordless-impact-wrench-650n-m-18v"/>
    <hyperlink ref="B9" r:id="rId7" display="https://kamadi.pk/products/gdx-180-li-bosch-cordless-impact-driver-wrench-180n-m-18v"/>
    <hyperlink ref="B10" r:id="rId8" display="https://kamadi.pk/products/bosch-gws-2200-230-h-angle-grinder"/>
    <hyperlink ref="B11" r:id="rId9" display="https://kamadi.pk/products/insize-1205-300s-vernier-caliper-0-300mm"/>
    <hyperlink ref="B12" r:id="rId10" display="https://kamadi.pk/products/1108-300-insize-digital-4-way-vernier-caliper-0-300mm"/>
    <hyperlink ref="B13" r:id="rId11" display="https://kamadi.pk/products/insize-3109-25a-digital-outside-micrometer-0-25mm"/>
    <hyperlink ref="B14" r:id="rId12" display="https://www.ktools.pk/products/bosch-gds-18v-1000-cordless-impact-wrench"/>
    <hyperlink ref="B15" r:id="rId13" display="https://www.ktools.pk/products/bosch-cordless-impact-wrench-gdx-180-li"/>
    <hyperlink ref="B16" r:id="rId14" display="https://www.ktools.pk/products/bosch-cordless-rotary-hammer-with-sds-plus-gbh-180-li"/>
    <hyperlink ref="B17" r:id="rId15" display="https://www.ktools.pk/products/bosch-cordless-impact-drill-combi-gsb-18v-150-c"/>
    <hyperlink ref="B18" r:id="rId16" display="https://www.ktools.pk/products/bosch-gws-2200-230h-angle-grinder-230mm-2200w"/>
    <hyperlink ref="B19" r:id="rId17" display="https://amjadhardware.com/product/1108-300-digital-vernier-caliper-0-300mm-0-12-insize/"/>
    <hyperlink ref="B20" r:id="rId18" display="https://purchaser.com.pk/insize-4-way-vernier-caliper-1205-200s-en/"/>
    <hyperlink ref="B21" r:id="rId19" display="https://powerhouseexpress.com.pk/collections/grinders"/>
    <hyperlink ref="B22" r:id="rId20" display="https://www.rafiqbrothers.com/en/category/hand-pallet-trucks/"/>
    <hyperlink ref="B23" r:id="rId21" display="https://eqmachines.com/products/hand-pallet-truck-pakistan"/>
    <hyperlink ref="B24" r:id="rId22" display="https://www.pakwheels.com/accessories-spare-parts/car-jack/213239"/>
    <hyperlink ref="B25" r:id="rId23" display="https://ingcotool.pk/product/total-swivel-base-bench-vise-with-anvil-6-150mm-tht6166/"/>
    <hyperlink ref="B26" r:id="rId24" display="https://www.naheed.pk/wd-40-330ml"/>
    <hyperlink ref="B27" r:id="rId25" display="https://autohub.pk/products/wd-40-330ml"/>
    <hyperlink ref="B28" r:id="rId26" display="https://imartpk.com/products/gws-22-230-h-professional"/>
    <hyperlink ref="B29" r:id="rId27" display="https://www.goldentools.ae/gttecom/singleitemmob/LICOTA/Bearing-and-Seal-Tools/?brcd=4712834507742"/>
    <hyperlink ref="B30" r:id="rId28" display="https://www.amazon.ae/LICOTA-GEAR-PULLER-ATB-1002C-AT-2102A/dp/B08CTD3842"/>
    <hyperlink ref="B31" r:id="rId29" display="https://www.goldentools.ae/item/4712818539608"/>
    <hyperlink ref="B32" r:id="rId30" display="https://shop.goldpeaktools.com.ph/products/licota-awx-2603gn-tool-cabinet-carriage-7-drawers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2026-10-09T15:59:27Z</dcterms:created>
  <dc:creator>openpyxl</dc:creator>
  <dc:description/>
  <dc:language>en-US</dc:language>
  <cp:lastModifiedBy/>
  <dcterms:modified xsi:type="dcterms:W3CDTF">2026-10-09T15:59:27Z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