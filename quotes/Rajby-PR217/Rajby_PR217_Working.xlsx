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" sheetId="1" state="visible" r:id="rId3"/>
    <sheet name="Qu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<sst xmlns="http://schemas.openxmlformats.org/spreadsheetml/2006/main" count="307" uniqueCount="116">
  <si>
    <t xml:space="preserve">Zidane Corporation - Rate working: Rajby Industries - PR# 217</t>
  </si>
  <si>
    <t xml:space="preserve">Markup on Buy High:</t>
  </si>
  <si>
    <t xml:space="preserve">&lt;- yellow cell change karo, selling rates update ho jayenge</t>
  </si>
  <si>
    <t xml:space="preserve">SR#</t>
  </si>
  <si>
    <t xml:space="preserve">Item Code</t>
  </si>
  <si>
    <t xml:space="preserve">Item Description</t>
  </si>
  <si>
    <t xml:space="preserve">UOM</t>
  </si>
  <si>
    <t xml:space="preserve">Qty</t>
  </si>
  <si>
    <t xml:space="preserve">Brand (quote)</t>
  </si>
  <si>
    <t xml:space="preserve">Buy Low</t>
  </si>
  <si>
    <t xml:space="preserve">Buy High</t>
  </si>
  <si>
    <t xml:space="preserve">Sell Rate</t>
  </si>
  <si>
    <t xml:space="preserve">Buy Total</t>
  </si>
  <si>
    <t xml:space="preserve">Sell Total</t>
  </si>
  <si>
    <t xml:space="preserve">Profit</t>
  </si>
  <si>
    <t xml:space="preserve">Margin</t>
  </si>
  <si>
    <t xml:space="preserve">Status V/S/N</t>
  </si>
  <si>
    <t xml:space="preserve">Src</t>
  </si>
  <si>
    <t xml:space="preserve">Source / Note</t>
  </si>
  <si>
    <t xml:space="preserve">825-00000245-00000-01-000-000</t>
  </si>
  <si>
    <t xml:space="preserve">PROTRACTOR 80MMX120MM</t>
  </si>
  <si>
    <t xml:space="preserve">Number</t>
  </si>
  <si>
    <t xml:space="preserve">Insize / Equivalent</t>
  </si>
  <si>
    <t xml:space="preserve">S</t>
  </si>
  <si>
    <t xml:space="preserve">Intl</t>
  </si>
  <si>
    <t xml:space="preserve">industrybuying.com Insize 4799-180 protractor 80x120mm INR 2,123 (variant price confirm)</t>
  </si>
  <si>
    <t xml:space="preserve">515-01124945-00000-01-000-000</t>
  </si>
  <si>
    <t xml:space="preserve">STAINLESS SCALE REMOVER 1KG</t>
  </si>
  <si>
    <t xml:space="preserve">Kilogram</t>
  </si>
  <si>
    <t xml:space="preserve">K2 Pickling Paste / Equivalent</t>
  </si>
  <si>
    <t xml:space="preserve">indiamart K2 pickling paste INR 387-550/kg; branded UK Super 6 GBP 41.20/2kg = 8,620/kg option</t>
  </si>
  <si>
    <t xml:space="preserve">515-01124947-00000-01-000-000</t>
  </si>
  <si>
    <t xml:space="preserve">LASER LEVEL WITH TRIPOAD, SELF LEVELING 3LINES 360 DEGREE RANGE 30M</t>
  </si>
  <si>
    <t xml:space="preserve">Bosch Professional</t>
  </si>
  <si>
    <t xml:space="preserve">V</t>
  </si>
  <si>
    <t xml:space="preserve">PK</t>
  </si>
  <si>
    <t xml:space="preserve">toolsmart.pk Bosch GLL 3-80 P 155,220 + BT150 tripod toolsmart 16,750 / ktools 19,500</t>
  </si>
  <si>
    <t xml:space="preserve">515-01124954-00000-01-000-000</t>
  </si>
  <si>
    <t xml:space="preserve">HYDRO CHROLIC ACID</t>
  </si>
  <si>
    <t xml:space="preserve">Local</t>
  </si>
  <si>
    <t xml:space="preserve">N</t>
  </si>
  <si>
    <t xml:space="preserve">No online listing - local chemical market estimate (33% commercial, 25kg can)</t>
  </si>
  <si>
    <t xml:space="preserve">515-01125003-00000-01-000-000</t>
  </si>
  <si>
    <t xml:space="preserve">DIAL INDICATOR MAGNETIC STAND</t>
  </si>
  <si>
    <t xml:space="preserve">Insize</t>
  </si>
  <si>
    <t xml:space="preserve">ktools.pk Insize 6200-60 magnetic stand 5,700; kamadi.pk 4,200</t>
  </si>
  <si>
    <t xml:space="preserve">515-01125004-00000-01-000-000</t>
  </si>
  <si>
    <t xml:space="preserve">PRECISION DIAL INDICATOR</t>
  </si>
  <si>
    <t xml:space="preserve">anaum.com (UAE) Insize 2308-10A 10mm x 0.01mm AED 115</t>
  </si>
  <si>
    <t xml:space="preserve">515-01125005-00000-01-000-000</t>
  </si>
  <si>
    <t xml:space="preserve">STUD BOLT SCREW DRILL EXTRACTOR KIT BROKEN REMOVAL SET (IMPERIAL METRIC)</t>
  </si>
  <si>
    <t xml:space="preserve">Yato / Equivalent</t>
  </si>
  <si>
    <t xml:space="preserve">toya24.pl Yato YT-06034 25pc extractor set PLN 126.20; kaufland.pl PLN 105.78</t>
  </si>
  <si>
    <t xml:space="preserve">515-01125026-00000-01-000-000</t>
  </si>
  <si>
    <t xml:space="preserve">DUROMETER SHORE A</t>
  </si>
  <si>
    <t xml:space="preserve">shop.k-met.com Insize ISH-SAM Shore A EUR 132.84 incl tax (108 ex)</t>
  </si>
  <si>
    <t xml:space="preserve">515-01125027-00000-01-000-000</t>
  </si>
  <si>
    <t xml:space="preserve">THREAD GAUGE</t>
  </si>
  <si>
    <t xml:space="preserve">techno.my Insize 4820-452 pitch gauge metric+whitworth MYR 71.50; organametrisis.gr EUR 10.70 ex VAT</t>
  </si>
  <si>
    <t xml:space="preserve">515-01125047-00000-01-000-000</t>
  </si>
  <si>
    <t xml:space="preserve">KNURLING TOOL 07PCS (0.5MM,1MM,1.5MM)</t>
  </si>
  <si>
    <t xml:space="preserve">Taiwan / Equivalent</t>
  </si>
  <si>
    <t xml:space="preserve">vxb.com knurling set 0.5/1.0/1.5mm L+R wheels with holder USD 88.88 (7pc helical with point box - confirm)</t>
  </si>
  <si>
    <t xml:space="preserve">515-01125051-00000-01-000-000</t>
  </si>
  <si>
    <t xml:space="preserve">LIFTING BELT CAPACITY 5 TON LENGTH 3MTR</t>
  </si>
  <si>
    <t xml:space="preserve">safetyliftingear.com 5T webbing sling 2m GBP 16.51 (3m listed nahi, +25% est)</t>
  </si>
  <si>
    <t xml:space="preserve">515-01125052-00000-01-000-000</t>
  </si>
  <si>
    <t xml:space="preserve">LIFTING BELT CAPACITY 5 TON LENGTH 4MTR</t>
  </si>
  <si>
    <t xml:space="preserve">safetyliftingear.com 5T webbing sling 2m GBP 16.51 (4m listed nahi, +50% est)</t>
  </si>
  <si>
    <t xml:space="preserve">515-01125055-00000-01-000-000</t>
  </si>
  <si>
    <t xml:space="preserve">MAGNETIC PLUMB BOB 5M</t>
  </si>
  <si>
    <t xml:space="preserve">ebay 400g magnetic plumb bob 5m line GBP 13.29</t>
  </si>
  <si>
    <t xml:space="preserve">515-01125056-00000-01-000-000</t>
  </si>
  <si>
    <t xml:space="preserve">MAGNETIC PLUMB BOB 10M</t>
  </si>
  <si>
    <t xml:space="preserve">ebay 400g magnetic plumb bob 5m GBP 13.29 (10m listed nahi, +20% est)</t>
  </si>
  <si>
    <t xml:space="preserve">515-01125057-00000-01-000-000</t>
  </si>
  <si>
    <t xml:space="preserve">ALIGNING / PRY BAR D-1", L-40"</t>
  </si>
  <si>
    <t xml:space="preserve">zoro.com True Temper 48in x 1in crow bar USD 38.49; Union Tools 48in USD 29.69</t>
  </si>
  <si>
    <t xml:space="preserve">515-01125058-00000-01-000-000</t>
  </si>
  <si>
    <t xml:space="preserve">ALIGNING / PRY BAR D-1-1/4", L-48"</t>
  </si>
  <si>
    <t xml:space="preserve">Gray Tools 73348 erectors pry bar 48in x 1-3/16in USD 88.30</t>
  </si>
  <si>
    <t xml:space="preserve">515-01125064-00000-01-000-000</t>
  </si>
  <si>
    <t xml:space="preserve">TROLLEY SKATE CAPACITY 3T</t>
  </si>
  <si>
    <t xml:space="preserve">ebay.de machine dolly skate 3T normal / 6T max EUR 54.55</t>
  </si>
  <si>
    <t xml:space="preserve">515-01125065-00000-01-000-000</t>
  </si>
  <si>
    <t xml:space="preserve">TROLLEY SKATE CAPACITY 5T</t>
  </si>
  <si>
    <t xml:space="preserve">ebay.com 8T 360 deg machinery skate USD 111.55 (5T listed nahi)</t>
  </si>
  <si>
    <t xml:space="preserve">515-01125066-00000-01-000-000</t>
  </si>
  <si>
    <t xml:space="preserve">SPIRIT MASTER LEVEL 200MM ACCURACY 0.02MM</t>
  </si>
  <si>
    <t xml:space="preserve">moglix.com Insize 4903-200A block level 200mm 0.02mm/m INR 8,643</t>
  </si>
  <si>
    <t xml:space="preserve">515-01125067-00000-01-000-000</t>
  </si>
  <si>
    <t xml:space="preserve">SLEDGE HAMMER 10 LBS</t>
  </si>
  <si>
    <t xml:space="preserve">Total</t>
  </si>
  <si>
    <t xml:space="preserve">toolsmart.pk Total THT750416 10lb 7,200; powerhouseexpress 8,640; Harden 10lb 8,560</t>
  </si>
  <si>
    <t xml:space="preserve">515-01125068-00000-01-000-000</t>
  </si>
  <si>
    <t xml:space="preserve">HYDRUALIC MANUAL PRESSURE TEST PUMP 50 BAR</t>
  </si>
  <si>
    <t xml:space="preserve">vevor.com hand test pump 0-50 bar 3gal USD 73.90; 2gal USD 60.90</t>
  </si>
  <si>
    <t xml:space="preserve">515-01125070-00000-01-000-000</t>
  </si>
  <si>
    <t xml:space="preserve">POWER CUT OFF SAW 355MM 2400W</t>
  </si>
  <si>
    <t xml:space="preserve">toolsmart.pk Bosch GCO 240 355mm 2400W 71,600 / 82,250</t>
  </si>
  <si>
    <t xml:space="preserve">515-01125083-00000-01-000-000</t>
  </si>
  <si>
    <t xml:space="preserve">OPTICAL LEVEL ,TRIPOD AND LEVELING SCALE RANGE 100M</t>
  </si>
  <si>
    <t xml:space="preserve">toolsmart.pk Bosch GOL 26 D 87,310 + BT150 tripod 16,750-19,500 + GR 500 staff 23,500 (BT 160 listed nahi)</t>
  </si>
  <si>
    <t xml:space="preserve">515-01125084-00000-01-000-000</t>
  </si>
  <si>
    <t xml:space="preserve">LIFTING BELT CAPACITY 3 TON LENGTH 2MTR</t>
  </si>
  <si>
    <t xml:space="preserve">safetyliftingear.com 3T webbing sling 1m GBP 6.75 (2m listed nahi, +50% est)</t>
  </si>
  <si>
    <t xml:space="preserve">825-00000278-00000-01-000-000</t>
  </si>
  <si>
    <t xml:space="preserve">LASER MEASUREMENT TAPE RANGE 250M</t>
  </si>
  <si>
    <t xml:space="preserve">kamadi.pk Bosch GLM 250 VF 114,200; ktools.pk 131,000</t>
  </si>
  <si>
    <t xml:space="preserve">TOTAL</t>
  </si>
  <si>
    <t xml:space="preserve">Status: V = exact listing, S = size/pack/brand differs (estimate in note), N = no online listing. Src: PK = Pakistani seller; Intl = UAE/UK/US/EU/IN/MY rate converted (AED x90, USD x330.5, GBP x418.5, EUR x384, PLN x90.5, MYR x78, INR x3.35).</t>
  </si>
  <si>
    <t xml:space="preserve">Zidane Corporation - QUOTATION</t>
  </si>
  <si>
    <t xml:space="preserve">Reference: Rajby Industries - PR# 217    Currency: PKR    Date: 12-Oct-2026</t>
  </si>
  <si>
    <t xml:space="preserve">Brand</t>
  </si>
  <si>
    <t xml:space="preserve">Unit Rate (PKR)</t>
  </si>
  <si>
    <t xml:space="preserve">Amount (PKR)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</si>
</sst>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1C1C"/>
        <bgColor rgb="FF993366"/>
      </patternFill>
    </fill>
    <fill>
      <patternFill patternType="solid">
        <fgColor rgb="FFFDEC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C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5"/>
    <col collapsed="false" customWidth="true" hidden="false" outlineLevel="0" max="6" min="6" style="0" width="24"/>
    <col collapsed="false" customWidth="true" hidden="false" outlineLevel="0" max="9" min="7" style="0" width="10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4" min="13" style="0" width="8"/>
    <col collapsed="false" customWidth="true" hidden="false" outlineLevel="0" max="15" min="15" style="0" width="6"/>
    <col collapsed="false" customWidth="true" hidden="false" outlineLevel="0" max="16" min="16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3" t="n">
        <v>0.15</v>
      </c>
      <c r="E2" s="4" t="s">
        <v>2</v>
      </c>
    </row>
    <row r="4" customFormat="false" ht="26.8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</row>
    <row r="5" customFormat="false" ht="15" hidden="false" customHeight="false" outlineLevel="0" collapsed="false">
      <c r="A5" s="6" t="n">
        <v>1</v>
      </c>
      <c r="B5" s="6" t="s">
        <v>19</v>
      </c>
      <c r="C5" s="6" t="s">
        <v>20</v>
      </c>
      <c r="D5" s="6" t="s">
        <v>21</v>
      </c>
      <c r="E5" s="6" t="n">
        <v>3</v>
      </c>
      <c r="F5" s="6" t="s">
        <v>22</v>
      </c>
      <c r="G5" s="7" t="n">
        <v>7112</v>
      </c>
      <c r="H5" s="7" t="n">
        <v>7112</v>
      </c>
      <c r="I5" s="8" t="n">
        <f aca="false">ROUND(H5*(1+$D$2),-1)</f>
        <v>8180</v>
      </c>
      <c r="J5" s="8" t="n">
        <f aca="false">E5*H5</f>
        <v>21336</v>
      </c>
      <c r="K5" s="8" t="n">
        <f aca="false">E5*I5</f>
        <v>24540</v>
      </c>
      <c r="L5" s="8" t="n">
        <f aca="false">K5-J5</f>
        <v>3204</v>
      </c>
      <c r="M5" s="9" t="n">
        <f aca="false">IF(K5=0,0,L5/K5)</f>
        <v>0.130562347188264</v>
      </c>
      <c r="N5" s="6" t="s">
        <v>23</v>
      </c>
      <c r="O5" s="6" t="s">
        <v>24</v>
      </c>
      <c r="P5" s="6" t="s">
        <v>25</v>
      </c>
    </row>
    <row r="6" customFormat="false" ht="15" hidden="false" customHeight="false" outlineLevel="0" collapsed="false">
      <c r="A6" s="6" t="n">
        <v>2</v>
      </c>
      <c r="B6" s="6" t="s">
        <v>26</v>
      </c>
      <c r="C6" s="6" t="s">
        <v>27</v>
      </c>
      <c r="D6" s="6" t="s">
        <v>28</v>
      </c>
      <c r="E6" s="6" t="n">
        <v>24</v>
      </c>
      <c r="F6" s="6" t="s">
        <v>29</v>
      </c>
      <c r="G6" s="7" t="n">
        <v>1297</v>
      </c>
      <c r="H6" s="7" t="n">
        <v>1843</v>
      </c>
      <c r="I6" s="8" t="n">
        <f aca="false">ROUND(H6*(1+$D$2),-1)</f>
        <v>2120</v>
      </c>
      <c r="J6" s="8" t="n">
        <f aca="false">E6*H6</f>
        <v>44232</v>
      </c>
      <c r="K6" s="8" t="n">
        <f aca="false">E6*I6</f>
        <v>50880</v>
      </c>
      <c r="L6" s="8" t="n">
        <f aca="false">K6-J6</f>
        <v>6648</v>
      </c>
      <c r="M6" s="9" t="n">
        <f aca="false">IF(K6=0,0,L6/K6)</f>
        <v>0.130660377358491</v>
      </c>
      <c r="N6" s="6" t="s">
        <v>23</v>
      </c>
      <c r="O6" s="6" t="s">
        <v>24</v>
      </c>
      <c r="P6" s="6" t="s">
        <v>30</v>
      </c>
    </row>
    <row r="7" customFormat="false" ht="15" hidden="false" customHeight="false" outlineLevel="0" collapsed="false">
      <c r="A7" s="6" t="n">
        <v>3</v>
      </c>
      <c r="B7" s="6" t="s">
        <v>31</v>
      </c>
      <c r="C7" s="6" t="s">
        <v>32</v>
      </c>
      <c r="D7" s="6" t="s">
        <v>21</v>
      </c>
      <c r="E7" s="6" t="n">
        <v>1</v>
      </c>
      <c r="F7" s="6" t="s">
        <v>33</v>
      </c>
      <c r="G7" s="7" t="n">
        <v>171970</v>
      </c>
      <c r="H7" s="7" t="n">
        <v>174720</v>
      </c>
      <c r="I7" s="8" t="n">
        <f aca="false">ROUND(H7*(1+$D$2),-1)</f>
        <v>200930</v>
      </c>
      <c r="J7" s="8" t="n">
        <f aca="false">E7*H7</f>
        <v>174720</v>
      </c>
      <c r="K7" s="8" t="n">
        <f aca="false">E7*I7</f>
        <v>200930</v>
      </c>
      <c r="L7" s="8" t="n">
        <f aca="false">K7-J7</f>
        <v>26210</v>
      </c>
      <c r="M7" s="9" t="n">
        <f aca="false">IF(K7=0,0,L7/K7)</f>
        <v>0.130443438013238</v>
      </c>
      <c r="N7" s="6" t="s">
        <v>34</v>
      </c>
      <c r="O7" s="6" t="s">
        <v>35</v>
      </c>
      <c r="P7" s="6" t="s">
        <v>36</v>
      </c>
    </row>
    <row r="8" customFormat="false" ht="15" hidden="false" customHeight="false" outlineLevel="0" collapsed="false">
      <c r="A8" s="10" t="n">
        <v>4</v>
      </c>
      <c r="B8" s="10" t="s">
        <v>37</v>
      </c>
      <c r="C8" s="10" t="s">
        <v>38</v>
      </c>
      <c r="D8" s="10" t="s">
        <v>28</v>
      </c>
      <c r="E8" s="10" t="n">
        <v>20</v>
      </c>
      <c r="F8" s="10" t="s">
        <v>39</v>
      </c>
      <c r="G8" s="11" t="n">
        <v>120</v>
      </c>
      <c r="H8" s="11" t="n">
        <v>200</v>
      </c>
      <c r="I8" s="12" t="n">
        <f aca="false">ROUND(H8*(1+$D$2),-1)</f>
        <v>230</v>
      </c>
      <c r="J8" s="12" t="n">
        <f aca="false">E8*H8</f>
        <v>4000</v>
      </c>
      <c r="K8" s="12" t="n">
        <f aca="false">E8*I8</f>
        <v>4600</v>
      </c>
      <c r="L8" s="12" t="n">
        <f aca="false">K8-J8</f>
        <v>600</v>
      </c>
      <c r="M8" s="13" t="n">
        <f aca="false">IF(K8=0,0,L8/K8)</f>
        <v>0.130434782608696</v>
      </c>
      <c r="N8" s="10" t="s">
        <v>40</v>
      </c>
      <c r="O8" s="10" t="s">
        <v>35</v>
      </c>
      <c r="P8" s="10" t="s">
        <v>41</v>
      </c>
    </row>
    <row r="9" customFormat="false" ht="15" hidden="false" customHeight="false" outlineLevel="0" collapsed="false">
      <c r="A9" s="6" t="n">
        <v>5</v>
      </c>
      <c r="B9" s="6" t="s">
        <v>42</v>
      </c>
      <c r="C9" s="6" t="s">
        <v>43</v>
      </c>
      <c r="D9" s="6" t="s">
        <v>21</v>
      </c>
      <c r="E9" s="6" t="n">
        <v>1</v>
      </c>
      <c r="F9" s="6" t="s">
        <v>44</v>
      </c>
      <c r="G9" s="7" t="n">
        <v>4200</v>
      </c>
      <c r="H9" s="7" t="n">
        <v>5700</v>
      </c>
      <c r="I9" s="8" t="n">
        <f aca="false">ROUND(H9*(1+$D$2),-1)</f>
        <v>6560</v>
      </c>
      <c r="J9" s="8" t="n">
        <f aca="false">E9*H9</f>
        <v>5700</v>
      </c>
      <c r="K9" s="8" t="n">
        <f aca="false">E9*I9</f>
        <v>6560</v>
      </c>
      <c r="L9" s="8" t="n">
        <f aca="false">K9-J9</f>
        <v>860</v>
      </c>
      <c r="M9" s="9" t="n">
        <f aca="false">IF(K9=0,0,L9/K9)</f>
        <v>0.13109756097561</v>
      </c>
      <c r="N9" s="6" t="s">
        <v>34</v>
      </c>
      <c r="O9" s="6" t="s">
        <v>35</v>
      </c>
      <c r="P9" s="6" t="s">
        <v>45</v>
      </c>
    </row>
    <row r="10" customFormat="false" ht="15" hidden="false" customHeight="false" outlineLevel="0" collapsed="false">
      <c r="A10" s="6" t="n">
        <v>6</v>
      </c>
      <c r="B10" s="6" t="s">
        <v>46</v>
      </c>
      <c r="C10" s="6" t="s">
        <v>47</v>
      </c>
      <c r="D10" s="6" t="s">
        <v>21</v>
      </c>
      <c r="E10" s="6" t="n">
        <v>1</v>
      </c>
      <c r="F10" s="6" t="s">
        <v>22</v>
      </c>
      <c r="G10" s="7" t="n">
        <v>10350</v>
      </c>
      <c r="H10" s="7" t="n">
        <v>10350</v>
      </c>
      <c r="I10" s="8" t="n">
        <f aca="false">ROUND(H10*(1+$D$2),-1)</f>
        <v>11900</v>
      </c>
      <c r="J10" s="8" t="n">
        <f aca="false">E10*H10</f>
        <v>10350</v>
      </c>
      <c r="K10" s="8" t="n">
        <f aca="false">E10*I10</f>
        <v>11900</v>
      </c>
      <c r="L10" s="8" t="n">
        <f aca="false">K10-J10</f>
        <v>1550</v>
      </c>
      <c r="M10" s="9" t="n">
        <f aca="false">IF(K10=0,0,L10/K10)</f>
        <v>0.130252100840336</v>
      </c>
      <c r="N10" s="6" t="s">
        <v>34</v>
      </c>
      <c r="O10" s="6" t="s">
        <v>24</v>
      </c>
      <c r="P10" s="6" t="s">
        <v>48</v>
      </c>
    </row>
    <row r="11" customFormat="false" ht="15" hidden="false" customHeight="false" outlineLevel="0" collapsed="false">
      <c r="A11" s="6" t="n">
        <v>7</v>
      </c>
      <c r="B11" s="6" t="s">
        <v>49</v>
      </c>
      <c r="C11" s="6" t="s">
        <v>50</v>
      </c>
      <c r="D11" s="6" t="s">
        <v>21</v>
      </c>
      <c r="E11" s="6" t="n">
        <v>3</v>
      </c>
      <c r="F11" s="6" t="s">
        <v>51</v>
      </c>
      <c r="G11" s="7" t="n">
        <v>9573</v>
      </c>
      <c r="H11" s="7" t="n">
        <v>11421</v>
      </c>
      <c r="I11" s="8" t="n">
        <f aca="false">ROUND(H11*(1+$D$2),-1)</f>
        <v>13130</v>
      </c>
      <c r="J11" s="8" t="n">
        <f aca="false">E11*H11</f>
        <v>34263</v>
      </c>
      <c r="K11" s="8" t="n">
        <f aca="false">E11*I11</f>
        <v>39390</v>
      </c>
      <c r="L11" s="8" t="n">
        <f aca="false">K11-J11</f>
        <v>5127</v>
      </c>
      <c r="M11" s="9" t="n">
        <f aca="false">IF(K11=0,0,L11/K11)</f>
        <v>0.13015993907083</v>
      </c>
      <c r="N11" s="6" t="s">
        <v>34</v>
      </c>
      <c r="O11" s="6" t="s">
        <v>24</v>
      </c>
      <c r="P11" s="6" t="s">
        <v>52</v>
      </c>
    </row>
    <row r="12" customFormat="false" ht="15" hidden="false" customHeight="false" outlineLevel="0" collapsed="false">
      <c r="A12" s="6" t="n">
        <v>8</v>
      </c>
      <c r="B12" s="6" t="s">
        <v>53</v>
      </c>
      <c r="C12" s="6" t="s">
        <v>54</v>
      </c>
      <c r="D12" s="6" t="s">
        <v>21</v>
      </c>
      <c r="E12" s="6" t="n">
        <v>3</v>
      </c>
      <c r="F12" s="6" t="s">
        <v>22</v>
      </c>
      <c r="G12" s="7" t="n">
        <v>41472</v>
      </c>
      <c r="H12" s="7" t="n">
        <v>51011</v>
      </c>
      <c r="I12" s="8" t="n">
        <f aca="false">ROUND(H12*(1+$D$2),-1)</f>
        <v>58660</v>
      </c>
      <c r="J12" s="8" t="n">
        <f aca="false">E12*H12</f>
        <v>153033</v>
      </c>
      <c r="K12" s="8" t="n">
        <f aca="false">E12*I12</f>
        <v>175980</v>
      </c>
      <c r="L12" s="8" t="n">
        <f aca="false">K12-J12</f>
        <v>22947</v>
      </c>
      <c r="M12" s="9" t="n">
        <f aca="false">IF(K12=0,0,L12/K12)</f>
        <v>0.130395499488578</v>
      </c>
      <c r="N12" s="6" t="s">
        <v>34</v>
      </c>
      <c r="O12" s="6" t="s">
        <v>24</v>
      </c>
      <c r="P12" s="6" t="s">
        <v>55</v>
      </c>
    </row>
    <row r="13" customFormat="false" ht="15" hidden="false" customHeight="false" outlineLevel="0" collapsed="false">
      <c r="A13" s="6" t="n">
        <v>9</v>
      </c>
      <c r="B13" s="6" t="s">
        <v>56</v>
      </c>
      <c r="C13" s="6" t="s">
        <v>57</v>
      </c>
      <c r="D13" s="6" t="s">
        <v>21</v>
      </c>
      <c r="E13" s="6" t="n">
        <v>1</v>
      </c>
      <c r="F13" s="6" t="s">
        <v>22</v>
      </c>
      <c r="G13" s="7" t="n">
        <v>5096</v>
      </c>
      <c r="H13" s="7" t="n">
        <v>5577</v>
      </c>
      <c r="I13" s="8" t="n">
        <f aca="false">ROUND(H13*(1+$D$2),-1)</f>
        <v>6410</v>
      </c>
      <c r="J13" s="8" t="n">
        <f aca="false">E13*H13</f>
        <v>5577</v>
      </c>
      <c r="K13" s="8" t="n">
        <f aca="false">E13*I13</f>
        <v>6410</v>
      </c>
      <c r="L13" s="8" t="n">
        <f aca="false">K13-J13</f>
        <v>833</v>
      </c>
      <c r="M13" s="9" t="n">
        <f aca="false">IF(K13=0,0,L13/K13)</f>
        <v>0.129953198127925</v>
      </c>
      <c r="N13" s="6" t="s">
        <v>34</v>
      </c>
      <c r="O13" s="6" t="s">
        <v>24</v>
      </c>
      <c r="P13" s="6" t="s">
        <v>58</v>
      </c>
    </row>
    <row r="14" customFormat="false" ht="15" hidden="false" customHeight="false" outlineLevel="0" collapsed="false">
      <c r="A14" s="6" t="n">
        <v>10</v>
      </c>
      <c r="B14" s="6" t="s">
        <v>59</v>
      </c>
      <c r="C14" s="6" t="s">
        <v>60</v>
      </c>
      <c r="D14" s="6" t="s">
        <v>21</v>
      </c>
      <c r="E14" s="6" t="n">
        <v>2</v>
      </c>
      <c r="F14" s="6" t="s">
        <v>61</v>
      </c>
      <c r="G14" s="7" t="n">
        <v>29375</v>
      </c>
      <c r="H14" s="7" t="n">
        <v>29375</v>
      </c>
      <c r="I14" s="8" t="n">
        <f aca="false">ROUND(H14*(1+$D$2),-1)</f>
        <v>33780</v>
      </c>
      <c r="J14" s="8" t="n">
        <f aca="false">E14*H14</f>
        <v>58750</v>
      </c>
      <c r="K14" s="8" t="n">
        <f aca="false">E14*I14</f>
        <v>67560</v>
      </c>
      <c r="L14" s="8" t="n">
        <f aca="false">K14-J14</f>
        <v>8810</v>
      </c>
      <c r="M14" s="9" t="n">
        <f aca="false">IF(K14=0,0,L14/K14)</f>
        <v>0.13040260509177</v>
      </c>
      <c r="N14" s="6" t="s">
        <v>23</v>
      </c>
      <c r="O14" s="6" t="s">
        <v>24</v>
      </c>
      <c r="P14" s="6" t="s">
        <v>62</v>
      </c>
    </row>
    <row r="15" customFormat="false" ht="15" hidden="false" customHeight="false" outlineLevel="0" collapsed="false">
      <c r="A15" s="6" t="n">
        <v>11</v>
      </c>
      <c r="B15" s="6" t="s">
        <v>63</v>
      </c>
      <c r="C15" s="6" t="s">
        <v>64</v>
      </c>
      <c r="D15" s="6" t="s">
        <v>21</v>
      </c>
      <c r="E15" s="6" t="n">
        <v>4</v>
      </c>
      <c r="F15" s="6" t="s">
        <v>61</v>
      </c>
      <c r="G15" s="7" t="n">
        <v>6909</v>
      </c>
      <c r="H15" s="7" t="n">
        <v>8640</v>
      </c>
      <c r="I15" s="8" t="n">
        <f aca="false">ROUND(H15*(1+$D$2),-1)</f>
        <v>9940</v>
      </c>
      <c r="J15" s="8" t="n">
        <f aca="false">E15*H15</f>
        <v>34560</v>
      </c>
      <c r="K15" s="8" t="n">
        <f aca="false">E15*I15</f>
        <v>39760</v>
      </c>
      <c r="L15" s="8" t="n">
        <f aca="false">K15-J15</f>
        <v>5200</v>
      </c>
      <c r="M15" s="9" t="n">
        <f aca="false">IF(K15=0,0,L15/K15)</f>
        <v>0.130784708249497</v>
      </c>
      <c r="N15" s="6" t="s">
        <v>23</v>
      </c>
      <c r="O15" s="6" t="s">
        <v>24</v>
      </c>
      <c r="P15" s="6" t="s">
        <v>65</v>
      </c>
    </row>
    <row r="16" customFormat="false" ht="15" hidden="false" customHeight="false" outlineLevel="0" collapsed="false">
      <c r="A16" s="6" t="n">
        <v>12</v>
      </c>
      <c r="B16" s="6" t="s">
        <v>66</v>
      </c>
      <c r="C16" s="6" t="s">
        <v>67</v>
      </c>
      <c r="D16" s="6" t="s">
        <v>21</v>
      </c>
      <c r="E16" s="6" t="n">
        <v>4</v>
      </c>
      <c r="F16" s="6" t="s">
        <v>61</v>
      </c>
      <c r="G16" s="7" t="n">
        <v>8640</v>
      </c>
      <c r="H16" s="7" t="n">
        <v>10370</v>
      </c>
      <c r="I16" s="8" t="n">
        <f aca="false">ROUND(H16*(1+$D$2),-1)</f>
        <v>11930</v>
      </c>
      <c r="J16" s="8" t="n">
        <f aca="false">E16*H16</f>
        <v>41480</v>
      </c>
      <c r="K16" s="8" t="n">
        <f aca="false">E16*I16</f>
        <v>47720</v>
      </c>
      <c r="L16" s="8" t="n">
        <f aca="false">K16-J16</f>
        <v>6240</v>
      </c>
      <c r="M16" s="9" t="n">
        <f aca="false">IF(K16=0,0,L16/K16)</f>
        <v>0.130762782900251</v>
      </c>
      <c r="N16" s="6" t="s">
        <v>23</v>
      </c>
      <c r="O16" s="6" t="s">
        <v>24</v>
      </c>
      <c r="P16" s="6" t="s">
        <v>68</v>
      </c>
    </row>
    <row r="17" customFormat="false" ht="15" hidden="false" customHeight="false" outlineLevel="0" collapsed="false">
      <c r="A17" s="6" t="n">
        <v>13</v>
      </c>
      <c r="B17" s="6" t="s">
        <v>69</v>
      </c>
      <c r="C17" s="6" t="s">
        <v>70</v>
      </c>
      <c r="D17" s="6" t="s">
        <v>21</v>
      </c>
      <c r="E17" s="6" t="n">
        <v>6</v>
      </c>
      <c r="F17" s="6" t="s">
        <v>61</v>
      </c>
      <c r="G17" s="7" t="n">
        <v>5562</v>
      </c>
      <c r="H17" s="7" t="n">
        <v>5562</v>
      </c>
      <c r="I17" s="8" t="n">
        <f aca="false">ROUND(H17*(1+$D$2),-1)</f>
        <v>6400</v>
      </c>
      <c r="J17" s="8" t="n">
        <f aca="false">E17*H17</f>
        <v>33372</v>
      </c>
      <c r="K17" s="8" t="n">
        <f aca="false">E17*I17</f>
        <v>38400</v>
      </c>
      <c r="L17" s="8" t="n">
        <f aca="false">K17-J17</f>
        <v>5028</v>
      </c>
      <c r="M17" s="9" t="n">
        <f aca="false">IF(K17=0,0,L17/K17)</f>
        <v>0.1309375</v>
      </c>
      <c r="N17" s="6" t="s">
        <v>34</v>
      </c>
      <c r="O17" s="6" t="s">
        <v>24</v>
      </c>
      <c r="P17" s="6" t="s">
        <v>71</v>
      </c>
    </row>
    <row r="18" customFormat="false" ht="15" hidden="false" customHeight="false" outlineLevel="0" collapsed="false">
      <c r="A18" s="6" t="n">
        <v>14</v>
      </c>
      <c r="B18" s="6" t="s">
        <v>72</v>
      </c>
      <c r="C18" s="6" t="s">
        <v>73</v>
      </c>
      <c r="D18" s="6" t="s">
        <v>21</v>
      </c>
      <c r="E18" s="6" t="n">
        <v>6</v>
      </c>
      <c r="F18" s="6" t="s">
        <v>61</v>
      </c>
      <c r="G18" s="7" t="n">
        <v>5562</v>
      </c>
      <c r="H18" s="7" t="n">
        <v>6670</v>
      </c>
      <c r="I18" s="8" t="n">
        <f aca="false">ROUND(H18*(1+$D$2),-1)</f>
        <v>7670</v>
      </c>
      <c r="J18" s="8" t="n">
        <f aca="false">E18*H18</f>
        <v>40020</v>
      </c>
      <c r="K18" s="8" t="n">
        <f aca="false">E18*I18</f>
        <v>46020</v>
      </c>
      <c r="L18" s="8" t="n">
        <f aca="false">K18-J18</f>
        <v>6000</v>
      </c>
      <c r="M18" s="9" t="n">
        <f aca="false">IF(K18=0,0,L18/K18)</f>
        <v>0.130378096479791</v>
      </c>
      <c r="N18" s="6" t="s">
        <v>23</v>
      </c>
      <c r="O18" s="6" t="s">
        <v>24</v>
      </c>
      <c r="P18" s="6" t="s">
        <v>74</v>
      </c>
    </row>
    <row r="19" customFormat="false" ht="15" hidden="false" customHeight="false" outlineLevel="0" collapsed="false">
      <c r="A19" s="6" t="n">
        <v>15</v>
      </c>
      <c r="B19" s="6" t="s">
        <v>75</v>
      </c>
      <c r="C19" s="6" t="s">
        <v>76</v>
      </c>
      <c r="D19" s="6" t="s">
        <v>21</v>
      </c>
      <c r="E19" s="6" t="n">
        <v>2</v>
      </c>
      <c r="F19" s="6" t="s">
        <v>61</v>
      </c>
      <c r="G19" s="7" t="n">
        <v>9813</v>
      </c>
      <c r="H19" s="7" t="n">
        <v>12721</v>
      </c>
      <c r="I19" s="8" t="n">
        <f aca="false">ROUND(H19*(1+$D$2),-1)</f>
        <v>14630</v>
      </c>
      <c r="J19" s="8" t="n">
        <f aca="false">E19*H19</f>
        <v>25442</v>
      </c>
      <c r="K19" s="8" t="n">
        <f aca="false">E19*I19</f>
        <v>29260</v>
      </c>
      <c r="L19" s="8" t="n">
        <f aca="false">K19-J19</f>
        <v>3818</v>
      </c>
      <c r="M19" s="9" t="n">
        <f aca="false">IF(K19=0,0,L19/K19)</f>
        <v>0.130485304169515</v>
      </c>
      <c r="N19" s="6" t="s">
        <v>23</v>
      </c>
      <c r="O19" s="6" t="s">
        <v>24</v>
      </c>
      <c r="P19" s="6" t="s">
        <v>77</v>
      </c>
    </row>
    <row r="20" customFormat="false" ht="15" hidden="false" customHeight="false" outlineLevel="0" collapsed="false">
      <c r="A20" s="6" t="n">
        <v>16</v>
      </c>
      <c r="B20" s="6" t="s">
        <v>78</v>
      </c>
      <c r="C20" s="6" t="s">
        <v>79</v>
      </c>
      <c r="D20" s="6" t="s">
        <v>21</v>
      </c>
      <c r="E20" s="6" t="n">
        <v>1</v>
      </c>
      <c r="F20" s="6" t="s">
        <v>61</v>
      </c>
      <c r="G20" s="7" t="n">
        <v>29183</v>
      </c>
      <c r="H20" s="7" t="n">
        <v>29183</v>
      </c>
      <c r="I20" s="8" t="n">
        <f aca="false">ROUND(H20*(1+$D$2),-1)</f>
        <v>33560</v>
      </c>
      <c r="J20" s="8" t="n">
        <f aca="false">E20*H20</f>
        <v>29183</v>
      </c>
      <c r="K20" s="8" t="n">
        <f aca="false">E20*I20</f>
        <v>33560</v>
      </c>
      <c r="L20" s="8" t="n">
        <f aca="false">K20-J20</f>
        <v>4377</v>
      </c>
      <c r="M20" s="9" t="n">
        <f aca="false">IF(K20=0,0,L20/K20)</f>
        <v>0.130423122765197</v>
      </c>
      <c r="N20" s="6" t="s">
        <v>23</v>
      </c>
      <c r="O20" s="6" t="s">
        <v>24</v>
      </c>
      <c r="P20" s="6" t="s">
        <v>80</v>
      </c>
    </row>
    <row r="21" customFormat="false" ht="15" hidden="false" customHeight="false" outlineLevel="0" collapsed="false">
      <c r="A21" s="6" t="n">
        <v>17</v>
      </c>
      <c r="B21" s="6" t="s">
        <v>81</v>
      </c>
      <c r="C21" s="6" t="s">
        <v>82</v>
      </c>
      <c r="D21" s="6" t="s">
        <v>21</v>
      </c>
      <c r="E21" s="6" t="n">
        <v>2</v>
      </c>
      <c r="F21" s="6" t="s">
        <v>61</v>
      </c>
      <c r="G21" s="7" t="n">
        <v>20947</v>
      </c>
      <c r="H21" s="7" t="n">
        <v>20947</v>
      </c>
      <c r="I21" s="8" t="n">
        <f aca="false">ROUND(H21*(1+$D$2),-1)</f>
        <v>24090</v>
      </c>
      <c r="J21" s="8" t="n">
        <f aca="false">E21*H21</f>
        <v>41894</v>
      </c>
      <c r="K21" s="8" t="n">
        <f aca="false">E21*I21</f>
        <v>48180</v>
      </c>
      <c r="L21" s="8" t="n">
        <f aca="false">K21-J21</f>
        <v>6286</v>
      </c>
      <c r="M21" s="9" t="n">
        <f aca="false">IF(K21=0,0,L21/K21)</f>
        <v>0.130469074304691</v>
      </c>
      <c r="N21" s="6" t="s">
        <v>34</v>
      </c>
      <c r="O21" s="6" t="s">
        <v>24</v>
      </c>
      <c r="P21" s="6" t="s">
        <v>83</v>
      </c>
    </row>
    <row r="22" customFormat="false" ht="15" hidden="false" customHeight="false" outlineLevel="0" collapsed="false">
      <c r="A22" s="6" t="n">
        <v>18</v>
      </c>
      <c r="B22" s="6" t="s">
        <v>84</v>
      </c>
      <c r="C22" s="6" t="s">
        <v>85</v>
      </c>
      <c r="D22" s="6" t="s">
        <v>21</v>
      </c>
      <c r="E22" s="6" t="n">
        <v>2</v>
      </c>
      <c r="F22" s="6" t="s">
        <v>61</v>
      </c>
      <c r="G22" s="7" t="n">
        <v>36868</v>
      </c>
      <c r="H22" s="7" t="n">
        <v>36868</v>
      </c>
      <c r="I22" s="8" t="n">
        <f aca="false">ROUND(H22*(1+$D$2),-1)</f>
        <v>42400</v>
      </c>
      <c r="J22" s="8" t="n">
        <f aca="false">E22*H22</f>
        <v>73736</v>
      </c>
      <c r="K22" s="8" t="n">
        <f aca="false">E22*I22</f>
        <v>84800</v>
      </c>
      <c r="L22" s="8" t="n">
        <f aca="false">K22-J22</f>
        <v>11064</v>
      </c>
      <c r="M22" s="9" t="n">
        <f aca="false">IF(K22=0,0,L22/K22)</f>
        <v>0.130471698113208</v>
      </c>
      <c r="N22" s="6" t="s">
        <v>23</v>
      </c>
      <c r="O22" s="6" t="s">
        <v>24</v>
      </c>
      <c r="P22" s="6" t="s">
        <v>86</v>
      </c>
    </row>
    <row r="23" customFormat="false" ht="15" hidden="false" customHeight="false" outlineLevel="0" collapsed="false">
      <c r="A23" s="6" t="n">
        <v>19</v>
      </c>
      <c r="B23" s="6" t="s">
        <v>87</v>
      </c>
      <c r="C23" s="6" t="s">
        <v>88</v>
      </c>
      <c r="D23" s="6" t="s">
        <v>21</v>
      </c>
      <c r="E23" s="6" t="n">
        <v>1</v>
      </c>
      <c r="F23" s="6" t="s">
        <v>22</v>
      </c>
      <c r="G23" s="7" t="n">
        <v>28954</v>
      </c>
      <c r="H23" s="7" t="n">
        <v>28954</v>
      </c>
      <c r="I23" s="8" t="n">
        <f aca="false">ROUND(H23*(1+$D$2),-1)</f>
        <v>33300</v>
      </c>
      <c r="J23" s="8" t="n">
        <f aca="false">E23*H23</f>
        <v>28954</v>
      </c>
      <c r="K23" s="8" t="n">
        <f aca="false">E23*I23</f>
        <v>33300</v>
      </c>
      <c r="L23" s="8" t="n">
        <f aca="false">K23-J23</f>
        <v>4346</v>
      </c>
      <c r="M23" s="9" t="n">
        <f aca="false">IF(K23=0,0,L23/K23)</f>
        <v>0.130510510510511</v>
      </c>
      <c r="N23" s="6" t="s">
        <v>34</v>
      </c>
      <c r="O23" s="6" t="s">
        <v>24</v>
      </c>
      <c r="P23" s="6" t="s">
        <v>89</v>
      </c>
    </row>
    <row r="24" customFormat="false" ht="15" hidden="false" customHeight="false" outlineLevel="0" collapsed="false">
      <c r="A24" s="6" t="n">
        <v>20</v>
      </c>
      <c r="B24" s="6" t="s">
        <v>90</v>
      </c>
      <c r="C24" s="6" t="s">
        <v>91</v>
      </c>
      <c r="D24" s="6" t="s">
        <v>21</v>
      </c>
      <c r="E24" s="6" t="n">
        <v>2</v>
      </c>
      <c r="F24" s="6" t="s">
        <v>92</v>
      </c>
      <c r="G24" s="7" t="n">
        <v>7200</v>
      </c>
      <c r="H24" s="7" t="n">
        <v>8640</v>
      </c>
      <c r="I24" s="8" t="n">
        <f aca="false">ROUND(H24*(1+$D$2),-1)</f>
        <v>9940</v>
      </c>
      <c r="J24" s="8" t="n">
        <f aca="false">E24*H24</f>
        <v>17280</v>
      </c>
      <c r="K24" s="8" t="n">
        <f aca="false">E24*I24</f>
        <v>19880</v>
      </c>
      <c r="L24" s="8" t="n">
        <f aca="false">K24-J24</f>
        <v>2600</v>
      </c>
      <c r="M24" s="9" t="n">
        <f aca="false">IF(K24=0,0,L24/K24)</f>
        <v>0.130784708249497</v>
      </c>
      <c r="N24" s="6" t="s">
        <v>34</v>
      </c>
      <c r="O24" s="6" t="s">
        <v>35</v>
      </c>
      <c r="P24" s="6" t="s">
        <v>93</v>
      </c>
    </row>
    <row r="25" customFormat="false" ht="15" hidden="false" customHeight="false" outlineLevel="0" collapsed="false">
      <c r="A25" s="6" t="n">
        <v>21</v>
      </c>
      <c r="B25" s="6" t="s">
        <v>94</v>
      </c>
      <c r="C25" s="6" t="s">
        <v>95</v>
      </c>
      <c r="D25" s="6" t="s">
        <v>21</v>
      </c>
      <c r="E25" s="6" t="n">
        <v>1</v>
      </c>
      <c r="F25" s="6" t="s">
        <v>61</v>
      </c>
      <c r="G25" s="7" t="n">
        <v>20127</v>
      </c>
      <c r="H25" s="7" t="n">
        <v>24424</v>
      </c>
      <c r="I25" s="8" t="n">
        <f aca="false">ROUND(H25*(1+$D$2),-1)</f>
        <v>28090</v>
      </c>
      <c r="J25" s="8" t="n">
        <f aca="false">E25*H25</f>
        <v>24424</v>
      </c>
      <c r="K25" s="8" t="n">
        <f aca="false">E25*I25</f>
        <v>28090</v>
      </c>
      <c r="L25" s="8" t="n">
        <f aca="false">K25-J25</f>
        <v>3666</v>
      </c>
      <c r="M25" s="9" t="n">
        <f aca="false">IF(K25=0,0,L25/K25)</f>
        <v>0.130509077963688</v>
      </c>
      <c r="N25" s="6" t="s">
        <v>34</v>
      </c>
      <c r="O25" s="6" t="s">
        <v>24</v>
      </c>
      <c r="P25" s="6" t="s">
        <v>96</v>
      </c>
    </row>
    <row r="26" customFormat="false" ht="15" hidden="false" customHeight="false" outlineLevel="0" collapsed="false">
      <c r="A26" s="6" t="n">
        <v>22</v>
      </c>
      <c r="B26" s="6" t="s">
        <v>97</v>
      </c>
      <c r="C26" s="6" t="s">
        <v>98</v>
      </c>
      <c r="D26" s="6" t="s">
        <v>21</v>
      </c>
      <c r="E26" s="6" t="n">
        <v>1</v>
      </c>
      <c r="F26" s="6" t="s">
        <v>33</v>
      </c>
      <c r="G26" s="7" t="n">
        <v>71600</v>
      </c>
      <c r="H26" s="7" t="n">
        <v>82250</v>
      </c>
      <c r="I26" s="8" t="n">
        <f aca="false">ROUND(H26*(1+$D$2),-1)</f>
        <v>94590</v>
      </c>
      <c r="J26" s="8" t="n">
        <f aca="false">E26*H26</f>
        <v>82250</v>
      </c>
      <c r="K26" s="8" t="n">
        <f aca="false">E26*I26</f>
        <v>94590</v>
      </c>
      <c r="L26" s="8" t="n">
        <f aca="false">K26-J26</f>
        <v>12340</v>
      </c>
      <c r="M26" s="9" t="n">
        <f aca="false">IF(K26=0,0,L26/K26)</f>
        <v>0.130457765091447</v>
      </c>
      <c r="N26" s="6" t="s">
        <v>34</v>
      </c>
      <c r="O26" s="6" t="s">
        <v>35</v>
      </c>
      <c r="P26" s="6" t="s">
        <v>99</v>
      </c>
    </row>
    <row r="27" customFormat="false" ht="15" hidden="false" customHeight="false" outlineLevel="0" collapsed="false">
      <c r="A27" s="6" t="n">
        <v>23</v>
      </c>
      <c r="B27" s="6" t="s">
        <v>100</v>
      </c>
      <c r="C27" s="6" t="s">
        <v>101</v>
      </c>
      <c r="D27" s="6" t="s">
        <v>21</v>
      </c>
      <c r="E27" s="6" t="n">
        <v>1</v>
      </c>
      <c r="F27" s="6" t="s">
        <v>33</v>
      </c>
      <c r="G27" s="7" t="n">
        <v>127560</v>
      </c>
      <c r="H27" s="7" t="n">
        <v>130310</v>
      </c>
      <c r="I27" s="8" t="n">
        <f aca="false">ROUND(H27*(1+$D$2),-1)</f>
        <v>149860</v>
      </c>
      <c r="J27" s="8" t="n">
        <f aca="false">E27*H27</f>
        <v>130310</v>
      </c>
      <c r="K27" s="8" t="n">
        <f aca="false">E27*I27</f>
        <v>149860</v>
      </c>
      <c r="L27" s="8" t="n">
        <f aca="false">K27-J27</f>
        <v>19550</v>
      </c>
      <c r="M27" s="9" t="n">
        <f aca="false">IF(K27=0,0,L27/K27)</f>
        <v>0.130455091418657</v>
      </c>
      <c r="N27" s="6" t="s">
        <v>23</v>
      </c>
      <c r="O27" s="6" t="s">
        <v>35</v>
      </c>
      <c r="P27" s="6" t="s">
        <v>102</v>
      </c>
    </row>
    <row r="28" customFormat="false" ht="15" hidden="false" customHeight="false" outlineLevel="0" collapsed="false">
      <c r="A28" s="6" t="n">
        <v>24</v>
      </c>
      <c r="B28" s="6" t="s">
        <v>103</v>
      </c>
      <c r="C28" s="6" t="s">
        <v>104</v>
      </c>
      <c r="D28" s="6" t="s">
        <v>21</v>
      </c>
      <c r="E28" s="6" t="n">
        <v>6</v>
      </c>
      <c r="F28" s="6" t="s">
        <v>61</v>
      </c>
      <c r="G28" s="7" t="n">
        <v>2825</v>
      </c>
      <c r="H28" s="7" t="n">
        <v>4240</v>
      </c>
      <c r="I28" s="8" t="n">
        <f aca="false">ROUND(H28*(1+$D$2),-1)</f>
        <v>4880</v>
      </c>
      <c r="J28" s="8" t="n">
        <f aca="false">E28*H28</f>
        <v>25440</v>
      </c>
      <c r="K28" s="8" t="n">
        <f aca="false">E28*I28</f>
        <v>29280</v>
      </c>
      <c r="L28" s="8" t="n">
        <f aca="false">K28-J28</f>
        <v>3840</v>
      </c>
      <c r="M28" s="9" t="n">
        <f aca="false">IF(K28=0,0,L28/K28)</f>
        <v>0.131147540983607</v>
      </c>
      <c r="N28" s="6" t="s">
        <v>23</v>
      </c>
      <c r="O28" s="6" t="s">
        <v>24</v>
      </c>
      <c r="P28" s="6" t="s">
        <v>105</v>
      </c>
    </row>
    <row r="29" customFormat="false" ht="15" hidden="false" customHeight="false" outlineLevel="0" collapsed="false">
      <c r="A29" s="6" t="n">
        <v>25</v>
      </c>
      <c r="B29" s="6" t="s">
        <v>106</v>
      </c>
      <c r="C29" s="6" t="s">
        <v>107</v>
      </c>
      <c r="D29" s="6" t="s">
        <v>21</v>
      </c>
      <c r="E29" s="6" t="n">
        <v>1</v>
      </c>
      <c r="F29" s="6" t="s">
        <v>33</v>
      </c>
      <c r="G29" s="7" t="n">
        <v>114200</v>
      </c>
      <c r="H29" s="7" t="n">
        <v>131000</v>
      </c>
      <c r="I29" s="8" t="n">
        <f aca="false">ROUND(H29*(1+$D$2),-1)</f>
        <v>150650</v>
      </c>
      <c r="J29" s="8" t="n">
        <f aca="false">E29*H29</f>
        <v>131000</v>
      </c>
      <c r="K29" s="8" t="n">
        <f aca="false">E29*I29</f>
        <v>150650</v>
      </c>
      <c r="L29" s="8" t="n">
        <f aca="false">K29-J29</f>
        <v>19650</v>
      </c>
      <c r="M29" s="9" t="n">
        <f aca="false">IF(K29=0,0,L29/K29)</f>
        <v>0.130434782608696</v>
      </c>
      <c r="N29" s="6" t="s">
        <v>34</v>
      </c>
      <c r="O29" s="6" t="s">
        <v>35</v>
      </c>
      <c r="P29" s="6" t="s">
        <v>108</v>
      </c>
    </row>
    <row r="30" customFormat="false" ht="15" hidden="false" customHeight="false" outlineLevel="0" collapsed="false">
      <c r="C30" s="2" t="s">
        <v>109</v>
      </c>
      <c r="J30" s="14" t="n">
        <f aca="false">SUM(J5:J29)</f>
        <v>1271306</v>
      </c>
      <c r="K30" s="14" t="n">
        <f aca="false">SUM(K5:K29)</f>
        <v>1462100</v>
      </c>
      <c r="L30" s="14" t="n">
        <f aca="false">SUM(L5:L29)</f>
        <v>190794</v>
      </c>
      <c r="M30" s="15" t="n">
        <f aca="false">IF(K30=0,0,L30/K30)</f>
        <v>0.130493126325149</v>
      </c>
    </row>
    <row r="32" customFormat="false" ht="15" hidden="false" customHeight="false" outlineLevel="0" collapsed="false">
      <c r="A32" s="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7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8" min="7" style="0" width="15"/>
  </cols>
  <sheetData>
    <row r="1" customFormat="false" ht="17.35" hidden="false" customHeight="false" outlineLevel="0" collapsed="false">
      <c r="A1" s="16" t="s">
        <v>111</v>
      </c>
    </row>
    <row r="2" customFormat="false" ht="15" hidden="false" customHeight="false" outlineLevel="0" collapsed="false">
      <c r="A2" s="17" t="s">
        <v>112</v>
      </c>
    </row>
    <row r="4" customFormat="false" ht="15" hidden="false" customHeight="false" outlineLevel="0" collapsed="false">
      <c r="A4" s="18" t="s">
        <v>3</v>
      </c>
      <c r="B4" s="18" t="s">
        <v>4</v>
      </c>
      <c r="C4" s="18" t="s">
        <v>5</v>
      </c>
      <c r="D4" s="18" t="s">
        <v>113</v>
      </c>
      <c r="E4" s="18" t="s">
        <v>6</v>
      </c>
      <c r="F4" s="18" t="s">
        <v>7</v>
      </c>
      <c r="G4" s="18" t="s">
        <v>114</v>
      </c>
      <c r="H4" s="18" t="s">
        <v>115</v>
      </c>
    </row>
    <row r="5" customFormat="false" ht="15" hidden="false" customHeight="false" outlineLevel="0" collapsed="false">
      <c r="A5" s="6" t="n">
        <v>1</v>
      </c>
      <c r="B5" s="6" t="s">
        <v>19</v>
      </c>
      <c r="C5" s="6" t="s">
        <v>20</v>
      </c>
      <c r="D5" s="6" t="s">
        <v>22</v>
      </c>
      <c r="E5" s="6" t="s">
        <v>21</v>
      </c>
      <c r="F5" s="6" t="n">
        <v>3</v>
      </c>
      <c r="G5" s="19" t="n">
        <f aca="false">Working!I5</f>
        <v>8180</v>
      </c>
      <c r="H5" s="8" t="n">
        <f aca="false">F5*G5</f>
        <v>24540</v>
      </c>
    </row>
    <row r="6" customFormat="false" ht="15" hidden="false" customHeight="false" outlineLevel="0" collapsed="false">
      <c r="A6" s="6" t="n">
        <v>2</v>
      </c>
      <c r="B6" s="6" t="s">
        <v>26</v>
      </c>
      <c r="C6" s="6" t="s">
        <v>27</v>
      </c>
      <c r="D6" s="6" t="s">
        <v>29</v>
      </c>
      <c r="E6" s="6" t="s">
        <v>28</v>
      </c>
      <c r="F6" s="6" t="n">
        <v>24</v>
      </c>
      <c r="G6" s="19" t="n">
        <f aca="false">Working!I6</f>
        <v>2120</v>
      </c>
      <c r="H6" s="8" t="n">
        <f aca="false">F6*G6</f>
        <v>50880</v>
      </c>
    </row>
    <row r="7" customFormat="false" ht="15" hidden="false" customHeight="false" outlineLevel="0" collapsed="false">
      <c r="A7" s="6" t="n">
        <v>3</v>
      </c>
      <c r="B7" s="6" t="s">
        <v>31</v>
      </c>
      <c r="C7" s="6" t="s">
        <v>32</v>
      </c>
      <c r="D7" s="6" t="s">
        <v>33</v>
      </c>
      <c r="E7" s="6" t="s">
        <v>21</v>
      </c>
      <c r="F7" s="6" t="n">
        <v>1</v>
      </c>
      <c r="G7" s="19" t="n">
        <f aca="false">Working!I7</f>
        <v>200930</v>
      </c>
      <c r="H7" s="8" t="n">
        <f aca="false">F7*G7</f>
        <v>200930</v>
      </c>
    </row>
    <row r="8" customFormat="false" ht="15" hidden="false" customHeight="false" outlineLevel="0" collapsed="false">
      <c r="A8" s="6" t="n">
        <v>4</v>
      </c>
      <c r="B8" s="6" t="s">
        <v>37</v>
      </c>
      <c r="C8" s="6" t="s">
        <v>38</v>
      </c>
      <c r="D8" s="6" t="s">
        <v>39</v>
      </c>
      <c r="E8" s="6" t="s">
        <v>28</v>
      </c>
      <c r="F8" s="6" t="n">
        <v>20</v>
      </c>
      <c r="G8" s="19" t="n">
        <f aca="false">Working!I8</f>
        <v>230</v>
      </c>
      <c r="H8" s="8" t="n">
        <f aca="false">F8*G8</f>
        <v>4600</v>
      </c>
    </row>
    <row r="9" customFormat="false" ht="15" hidden="false" customHeight="false" outlineLevel="0" collapsed="false">
      <c r="A9" s="6" t="n">
        <v>5</v>
      </c>
      <c r="B9" s="6" t="s">
        <v>42</v>
      </c>
      <c r="C9" s="6" t="s">
        <v>43</v>
      </c>
      <c r="D9" s="6" t="s">
        <v>44</v>
      </c>
      <c r="E9" s="6" t="s">
        <v>21</v>
      </c>
      <c r="F9" s="6" t="n">
        <v>1</v>
      </c>
      <c r="G9" s="19" t="n">
        <f aca="false">Working!I9</f>
        <v>6560</v>
      </c>
      <c r="H9" s="8" t="n">
        <f aca="false">F9*G9</f>
        <v>6560</v>
      </c>
    </row>
    <row r="10" customFormat="false" ht="15" hidden="false" customHeight="false" outlineLevel="0" collapsed="false">
      <c r="A10" s="6" t="n">
        <v>6</v>
      </c>
      <c r="B10" s="6" t="s">
        <v>46</v>
      </c>
      <c r="C10" s="6" t="s">
        <v>47</v>
      </c>
      <c r="D10" s="6" t="s">
        <v>22</v>
      </c>
      <c r="E10" s="6" t="s">
        <v>21</v>
      </c>
      <c r="F10" s="6" t="n">
        <v>1</v>
      </c>
      <c r="G10" s="19" t="n">
        <f aca="false">Working!I10</f>
        <v>11900</v>
      </c>
      <c r="H10" s="8" t="n">
        <f aca="false">F10*G10</f>
        <v>11900</v>
      </c>
    </row>
    <row r="11" customFormat="false" ht="15" hidden="false" customHeight="false" outlineLevel="0" collapsed="false">
      <c r="A11" s="6" t="n">
        <v>7</v>
      </c>
      <c r="B11" s="6" t="s">
        <v>49</v>
      </c>
      <c r="C11" s="6" t="s">
        <v>50</v>
      </c>
      <c r="D11" s="6" t="s">
        <v>51</v>
      </c>
      <c r="E11" s="6" t="s">
        <v>21</v>
      </c>
      <c r="F11" s="6" t="n">
        <v>3</v>
      </c>
      <c r="G11" s="19" t="n">
        <f aca="false">Working!I11</f>
        <v>13130</v>
      </c>
      <c r="H11" s="8" t="n">
        <f aca="false">F11*G11</f>
        <v>39390</v>
      </c>
    </row>
    <row r="12" customFormat="false" ht="15" hidden="false" customHeight="false" outlineLevel="0" collapsed="false">
      <c r="A12" s="6" t="n">
        <v>8</v>
      </c>
      <c r="B12" s="6" t="s">
        <v>53</v>
      </c>
      <c r="C12" s="6" t="s">
        <v>54</v>
      </c>
      <c r="D12" s="6" t="s">
        <v>22</v>
      </c>
      <c r="E12" s="6" t="s">
        <v>21</v>
      </c>
      <c r="F12" s="6" t="n">
        <v>3</v>
      </c>
      <c r="G12" s="19" t="n">
        <f aca="false">Working!I12</f>
        <v>58660</v>
      </c>
      <c r="H12" s="8" t="n">
        <f aca="false">F12*G12</f>
        <v>175980</v>
      </c>
    </row>
    <row r="13" customFormat="false" ht="15" hidden="false" customHeight="false" outlineLevel="0" collapsed="false">
      <c r="A13" s="6" t="n">
        <v>9</v>
      </c>
      <c r="B13" s="6" t="s">
        <v>56</v>
      </c>
      <c r="C13" s="6" t="s">
        <v>57</v>
      </c>
      <c r="D13" s="6" t="s">
        <v>22</v>
      </c>
      <c r="E13" s="6" t="s">
        <v>21</v>
      </c>
      <c r="F13" s="6" t="n">
        <v>1</v>
      </c>
      <c r="G13" s="19" t="n">
        <f aca="false">Working!I13</f>
        <v>6410</v>
      </c>
      <c r="H13" s="8" t="n">
        <f aca="false">F13*G13</f>
        <v>6410</v>
      </c>
    </row>
    <row r="14" customFormat="false" ht="15" hidden="false" customHeight="false" outlineLevel="0" collapsed="false">
      <c r="A14" s="6" t="n">
        <v>10</v>
      </c>
      <c r="B14" s="6" t="s">
        <v>59</v>
      </c>
      <c r="C14" s="6" t="s">
        <v>60</v>
      </c>
      <c r="D14" s="6" t="s">
        <v>61</v>
      </c>
      <c r="E14" s="6" t="s">
        <v>21</v>
      </c>
      <c r="F14" s="6" t="n">
        <v>2</v>
      </c>
      <c r="G14" s="19" t="n">
        <f aca="false">Working!I14</f>
        <v>33780</v>
      </c>
      <c r="H14" s="8" t="n">
        <f aca="false">F14*G14</f>
        <v>67560</v>
      </c>
    </row>
    <row r="15" customFormat="false" ht="15" hidden="false" customHeight="false" outlineLevel="0" collapsed="false">
      <c r="A15" s="6" t="n">
        <v>11</v>
      </c>
      <c r="B15" s="6" t="s">
        <v>63</v>
      </c>
      <c r="C15" s="6" t="s">
        <v>64</v>
      </c>
      <c r="D15" s="6" t="s">
        <v>61</v>
      </c>
      <c r="E15" s="6" t="s">
        <v>21</v>
      </c>
      <c r="F15" s="6" t="n">
        <v>4</v>
      </c>
      <c r="G15" s="19" t="n">
        <f aca="false">Working!I15</f>
        <v>9940</v>
      </c>
      <c r="H15" s="8" t="n">
        <f aca="false">F15*G15</f>
        <v>39760</v>
      </c>
    </row>
    <row r="16" customFormat="false" ht="15" hidden="false" customHeight="false" outlineLevel="0" collapsed="false">
      <c r="A16" s="6" t="n">
        <v>12</v>
      </c>
      <c r="B16" s="6" t="s">
        <v>66</v>
      </c>
      <c r="C16" s="6" t="s">
        <v>67</v>
      </c>
      <c r="D16" s="6" t="s">
        <v>61</v>
      </c>
      <c r="E16" s="6" t="s">
        <v>21</v>
      </c>
      <c r="F16" s="6" t="n">
        <v>4</v>
      </c>
      <c r="G16" s="19" t="n">
        <f aca="false">Working!I16</f>
        <v>11930</v>
      </c>
      <c r="H16" s="8" t="n">
        <f aca="false">F16*G16</f>
        <v>47720</v>
      </c>
    </row>
    <row r="17" customFormat="false" ht="15" hidden="false" customHeight="false" outlineLevel="0" collapsed="false">
      <c r="A17" s="6" t="n">
        <v>13</v>
      </c>
      <c r="B17" s="6" t="s">
        <v>69</v>
      </c>
      <c r="C17" s="6" t="s">
        <v>70</v>
      </c>
      <c r="D17" s="6" t="s">
        <v>61</v>
      </c>
      <c r="E17" s="6" t="s">
        <v>21</v>
      </c>
      <c r="F17" s="6" t="n">
        <v>6</v>
      </c>
      <c r="G17" s="19" t="n">
        <f aca="false">Working!I17</f>
        <v>6400</v>
      </c>
      <c r="H17" s="8" t="n">
        <f aca="false">F17*G17</f>
        <v>38400</v>
      </c>
    </row>
    <row r="18" customFormat="false" ht="15" hidden="false" customHeight="false" outlineLevel="0" collapsed="false">
      <c r="A18" s="6" t="n">
        <v>14</v>
      </c>
      <c r="B18" s="6" t="s">
        <v>72</v>
      </c>
      <c r="C18" s="6" t="s">
        <v>73</v>
      </c>
      <c r="D18" s="6" t="s">
        <v>61</v>
      </c>
      <c r="E18" s="6" t="s">
        <v>21</v>
      </c>
      <c r="F18" s="6" t="n">
        <v>6</v>
      </c>
      <c r="G18" s="19" t="n">
        <f aca="false">Working!I18</f>
        <v>7670</v>
      </c>
      <c r="H18" s="8" t="n">
        <f aca="false">F18*G18</f>
        <v>46020</v>
      </c>
    </row>
    <row r="19" customFormat="false" ht="15" hidden="false" customHeight="false" outlineLevel="0" collapsed="false">
      <c r="A19" s="6" t="n">
        <v>15</v>
      </c>
      <c r="B19" s="6" t="s">
        <v>75</v>
      </c>
      <c r="C19" s="6" t="s">
        <v>76</v>
      </c>
      <c r="D19" s="6" t="s">
        <v>61</v>
      </c>
      <c r="E19" s="6" t="s">
        <v>21</v>
      </c>
      <c r="F19" s="6" t="n">
        <v>2</v>
      </c>
      <c r="G19" s="19" t="n">
        <f aca="false">Working!I19</f>
        <v>14630</v>
      </c>
      <c r="H19" s="8" t="n">
        <f aca="false">F19*G19</f>
        <v>29260</v>
      </c>
    </row>
    <row r="20" customFormat="false" ht="15" hidden="false" customHeight="false" outlineLevel="0" collapsed="false">
      <c r="A20" s="6" t="n">
        <v>16</v>
      </c>
      <c r="B20" s="6" t="s">
        <v>78</v>
      </c>
      <c r="C20" s="6" t="s">
        <v>79</v>
      </c>
      <c r="D20" s="6" t="s">
        <v>61</v>
      </c>
      <c r="E20" s="6" t="s">
        <v>21</v>
      </c>
      <c r="F20" s="6" t="n">
        <v>1</v>
      </c>
      <c r="G20" s="19" t="n">
        <f aca="false">Working!I20</f>
        <v>33560</v>
      </c>
      <c r="H20" s="8" t="n">
        <f aca="false">F20*G20</f>
        <v>33560</v>
      </c>
    </row>
    <row r="21" customFormat="false" ht="15" hidden="false" customHeight="false" outlineLevel="0" collapsed="false">
      <c r="A21" s="6" t="n">
        <v>17</v>
      </c>
      <c r="B21" s="6" t="s">
        <v>81</v>
      </c>
      <c r="C21" s="6" t="s">
        <v>82</v>
      </c>
      <c r="D21" s="6" t="s">
        <v>61</v>
      </c>
      <c r="E21" s="6" t="s">
        <v>21</v>
      </c>
      <c r="F21" s="6" t="n">
        <v>2</v>
      </c>
      <c r="G21" s="19" t="n">
        <f aca="false">Working!I21</f>
        <v>24090</v>
      </c>
      <c r="H21" s="8" t="n">
        <f aca="false">F21*G21</f>
        <v>48180</v>
      </c>
    </row>
    <row r="22" customFormat="false" ht="15" hidden="false" customHeight="false" outlineLevel="0" collapsed="false">
      <c r="A22" s="6" t="n">
        <v>18</v>
      </c>
      <c r="B22" s="6" t="s">
        <v>84</v>
      </c>
      <c r="C22" s="6" t="s">
        <v>85</v>
      </c>
      <c r="D22" s="6" t="s">
        <v>61</v>
      </c>
      <c r="E22" s="6" t="s">
        <v>21</v>
      </c>
      <c r="F22" s="6" t="n">
        <v>2</v>
      </c>
      <c r="G22" s="19" t="n">
        <f aca="false">Working!I22</f>
        <v>42400</v>
      </c>
      <c r="H22" s="8" t="n">
        <f aca="false">F22*G22</f>
        <v>84800</v>
      </c>
    </row>
    <row r="23" customFormat="false" ht="15" hidden="false" customHeight="false" outlineLevel="0" collapsed="false">
      <c r="A23" s="6" t="n">
        <v>19</v>
      </c>
      <c r="B23" s="6" t="s">
        <v>87</v>
      </c>
      <c r="C23" s="6" t="s">
        <v>88</v>
      </c>
      <c r="D23" s="6" t="s">
        <v>22</v>
      </c>
      <c r="E23" s="6" t="s">
        <v>21</v>
      </c>
      <c r="F23" s="6" t="n">
        <v>1</v>
      </c>
      <c r="G23" s="19" t="n">
        <f aca="false">Working!I23</f>
        <v>33300</v>
      </c>
      <c r="H23" s="8" t="n">
        <f aca="false">F23*G23</f>
        <v>33300</v>
      </c>
    </row>
    <row r="24" customFormat="false" ht="15" hidden="false" customHeight="false" outlineLevel="0" collapsed="false">
      <c r="A24" s="6" t="n">
        <v>20</v>
      </c>
      <c r="B24" s="6" t="s">
        <v>90</v>
      </c>
      <c r="C24" s="6" t="s">
        <v>91</v>
      </c>
      <c r="D24" s="6" t="s">
        <v>92</v>
      </c>
      <c r="E24" s="6" t="s">
        <v>21</v>
      </c>
      <c r="F24" s="6" t="n">
        <v>2</v>
      </c>
      <c r="G24" s="19" t="n">
        <f aca="false">Working!I24</f>
        <v>9940</v>
      </c>
      <c r="H24" s="8" t="n">
        <f aca="false">F24*G24</f>
        <v>19880</v>
      </c>
    </row>
    <row r="25" customFormat="false" ht="15" hidden="false" customHeight="false" outlineLevel="0" collapsed="false">
      <c r="A25" s="6" t="n">
        <v>21</v>
      </c>
      <c r="B25" s="6" t="s">
        <v>94</v>
      </c>
      <c r="C25" s="6" t="s">
        <v>95</v>
      </c>
      <c r="D25" s="6" t="s">
        <v>61</v>
      </c>
      <c r="E25" s="6" t="s">
        <v>21</v>
      </c>
      <c r="F25" s="6" t="n">
        <v>1</v>
      </c>
      <c r="G25" s="19" t="n">
        <f aca="false">Working!I25</f>
        <v>28090</v>
      </c>
      <c r="H25" s="8" t="n">
        <f aca="false">F25*G25</f>
        <v>28090</v>
      </c>
    </row>
    <row r="26" customFormat="false" ht="15" hidden="false" customHeight="false" outlineLevel="0" collapsed="false">
      <c r="A26" s="6" t="n">
        <v>22</v>
      </c>
      <c r="B26" s="6" t="s">
        <v>97</v>
      </c>
      <c r="C26" s="6" t="s">
        <v>98</v>
      </c>
      <c r="D26" s="6" t="s">
        <v>33</v>
      </c>
      <c r="E26" s="6" t="s">
        <v>21</v>
      </c>
      <c r="F26" s="6" t="n">
        <v>1</v>
      </c>
      <c r="G26" s="19" t="n">
        <f aca="false">Working!I26</f>
        <v>94590</v>
      </c>
      <c r="H26" s="8" t="n">
        <f aca="false">F26*G26</f>
        <v>94590</v>
      </c>
    </row>
    <row r="27" customFormat="false" ht="15" hidden="false" customHeight="false" outlineLevel="0" collapsed="false">
      <c r="A27" s="6" t="n">
        <v>23</v>
      </c>
      <c r="B27" s="6" t="s">
        <v>100</v>
      </c>
      <c r="C27" s="6" t="s">
        <v>101</v>
      </c>
      <c r="D27" s="6" t="s">
        <v>33</v>
      </c>
      <c r="E27" s="6" t="s">
        <v>21</v>
      </c>
      <c r="F27" s="6" t="n">
        <v>1</v>
      </c>
      <c r="G27" s="19" t="n">
        <f aca="false">Working!I27</f>
        <v>149860</v>
      </c>
      <c r="H27" s="8" t="n">
        <f aca="false">F27*G27</f>
        <v>149860</v>
      </c>
    </row>
    <row r="28" customFormat="false" ht="15" hidden="false" customHeight="false" outlineLevel="0" collapsed="false">
      <c r="A28" s="6" t="n">
        <v>24</v>
      </c>
      <c r="B28" s="6" t="s">
        <v>103</v>
      </c>
      <c r="C28" s="6" t="s">
        <v>104</v>
      </c>
      <c r="D28" s="6" t="s">
        <v>61</v>
      </c>
      <c r="E28" s="6" t="s">
        <v>21</v>
      </c>
      <c r="F28" s="6" t="n">
        <v>6</v>
      </c>
      <c r="G28" s="19" t="n">
        <f aca="false">Working!I28</f>
        <v>4880</v>
      </c>
      <c r="H28" s="8" t="n">
        <f aca="false">F28*G28</f>
        <v>29280</v>
      </c>
    </row>
    <row r="29" customFormat="false" ht="15" hidden="false" customHeight="false" outlineLevel="0" collapsed="false">
      <c r="A29" s="6" t="n">
        <v>25</v>
      </c>
      <c r="B29" s="6" t="s">
        <v>106</v>
      </c>
      <c r="C29" s="6" t="s">
        <v>107</v>
      </c>
      <c r="D29" s="6" t="s">
        <v>33</v>
      </c>
      <c r="E29" s="6" t="s">
        <v>21</v>
      </c>
      <c r="F29" s="6" t="n">
        <v>1</v>
      </c>
      <c r="G29" s="19" t="n">
        <f aca="false">Working!I29</f>
        <v>150650</v>
      </c>
      <c r="H29" s="8" t="n">
        <f aca="false">F29*G29</f>
        <v>150650</v>
      </c>
    </row>
    <row r="30" customFormat="false" ht="15" hidden="false" customHeight="false" outlineLevel="0" collapsed="false">
      <c r="G30" s="2" t="s">
        <v>109</v>
      </c>
      <c r="H30" s="14" t="n">
        <f aca="false">SUM(H5:H29)</f>
        <v>1462100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2026-10-12T11:26:31Z</dcterms:created>
  <dc:creator>openpyxl</dc:creator>
  <dc:description/>
  <dc:language>en-US</dc:language>
  <cp:lastModifiedBy/>
  <dcterms:modified xsi:type="dcterms:W3CDTF">2026-10-12T11:26:31Z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