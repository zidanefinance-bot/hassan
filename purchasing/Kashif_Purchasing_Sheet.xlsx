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chasing Sheet" sheetId="1" state="visible" r:id="rId1"/>
  </sheets>
  <definedNames>
    <definedName name="_xlnm.Print_Titles" localSheetId="0">'Purchasing Sheet'!$1:$5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b val="1"/>
      <color rgb="00555555"/>
      <sz val="9"/>
    </font>
    <font>
      <name val="Calibri"/>
      <b val="1"/>
      <color rgb="001A3A6B"/>
      <sz val="12"/>
    </font>
    <font>
      <name val="Calibri"/>
      <b val="1"/>
      <color rgb="008B4513"/>
      <sz val="12"/>
    </font>
    <font>
      <name val="Calibri"/>
      <b val="1"/>
      <color rgb="00FFFFFF"/>
      <sz val="11"/>
    </font>
    <font>
      <name val="Calibri"/>
      <color rgb="00999999"/>
      <sz val="10"/>
    </font>
    <font>
      <name val="Calibri"/>
      <color rgb="00000000"/>
      <sz val="11"/>
    </font>
    <font>
      <name val="Calibri"/>
      <color rgb="00666666"/>
      <sz val="11"/>
    </font>
    <font>
      <name val="Calibri"/>
      <b val="1"/>
      <color rgb="00000000"/>
      <sz val="11"/>
    </font>
    <font>
      <name val="Calibri"/>
      <b val="1"/>
      <color rgb="00C0392B"/>
      <sz val="12"/>
    </font>
    <font>
      <name val="Calibri"/>
      <b val="1"/>
      <color rgb="001A3A6B"/>
      <sz val="11"/>
    </font>
    <font>
      <name val="Calibri"/>
      <b val="1"/>
      <color rgb="00FFFFFF"/>
      <sz val="13"/>
    </font>
    <font>
      <name val="Calibri"/>
      <b val="1"/>
      <color rgb="001A3A6B"/>
      <sz val="13"/>
    </font>
    <font>
      <name val="Calibri"/>
      <i val="1"/>
      <color rgb="00555555"/>
      <sz val="10"/>
    </font>
  </fonts>
  <fills count="11">
    <fill>
      <patternFill/>
    </fill>
    <fill>
      <patternFill patternType="gray125"/>
    </fill>
    <fill>
      <patternFill patternType="solid">
        <fgColor rgb="001A3A6B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16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/>
    </xf>
    <xf numFmtId="3" fontId="9" fillId="6" borderId="1" applyAlignment="1" pivotButton="0" quotePrefix="0" xfId="0">
      <alignment horizontal="center" vertical="center"/>
    </xf>
    <xf numFmtId="3" fontId="10" fillId="7" borderId="1" applyAlignment="1" pivotButton="0" quotePrefix="0" xfId="0">
      <alignment horizontal="right" vertical="center"/>
    </xf>
    <xf numFmtId="3" fontId="11" fillId="3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/>
    </xf>
    <xf numFmtId="3" fontId="9" fillId="8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right" vertical="center"/>
    </xf>
    <xf numFmtId="3" fontId="12" fillId="2" borderId="1" applyAlignment="1" pivotButton="0" quotePrefix="0" xfId="0">
      <alignment horizontal="right" vertical="center"/>
    </xf>
    <xf numFmtId="0" fontId="13" fillId="9" borderId="1" applyAlignment="1" pivotButton="0" quotePrefix="0" xfId="0">
      <alignment horizontal="right" vertical="center"/>
    </xf>
    <xf numFmtId="3" fontId="13" fillId="9" borderId="1" applyAlignment="1" pivotButton="0" quotePrefix="0" xfId="0">
      <alignment horizontal="right" vertical="center"/>
    </xf>
    <xf numFmtId="0" fontId="14" fillId="1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7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8" customWidth="1" min="3" max="3"/>
    <col width="8" customWidth="1" min="4" max="4"/>
    <col width="14" customWidth="1" min="5" max="5"/>
    <col width="16" customWidth="1" min="6" max="6"/>
  </cols>
  <sheetData>
    <row r="1" ht="32" customHeight="1">
      <c r="A1" s="1" t="inlineStr">
        <is>
          <t>ZIDANE CORPORATION  —  PURCHASING SHEET</t>
        </is>
      </c>
    </row>
    <row r="2" ht="20" customHeight="1">
      <c r="A2" s="2" t="inlineStr"/>
      <c r="B2" s="2" t="inlineStr">
        <is>
          <t>DATE</t>
        </is>
      </c>
      <c r="C2" s="2" t="inlineStr"/>
      <c r="D2" s="2" t="inlineStr">
        <is>
          <t>CUSTOMER / ORDER</t>
        </is>
      </c>
      <c r="E2" s="2" t="inlineStr"/>
      <c r="F2" s="2" t="inlineStr">
        <is>
          <t>ADVANCE GIVEN (PKR)</t>
        </is>
      </c>
    </row>
    <row r="3" ht="22" customHeight="1">
      <c r="B3" s="3" t="n"/>
      <c r="D3" s="4" t="n"/>
      <c r="F3" s="5" t="n"/>
    </row>
    <row r="4" ht="6" customHeight="1"/>
    <row r="5" ht="22" customHeight="1">
      <c r="A5" s="6" t="inlineStr">
        <is>
          <t>#</t>
        </is>
      </c>
      <c r="B5" s="6" t="inlineStr">
        <is>
          <t>ITEM DESCRIPTION</t>
        </is>
      </c>
      <c r="C5" s="6" t="inlineStr">
        <is>
          <t>UOM</t>
        </is>
      </c>
      <c r="D5" s="6" t="inlineStr">
        <is>
          <t>QTY</t>
        </is>
      </c>
      <c r="E5" s="6" t="inlineStr">
        <is>
          <t>RATE (PKR) ✏</t>
        </is>
      </c>
      <c r="F5" s="6" t="inlineStr">
        <is>
          <t>AMOUNT (PKR)</t>
        </is>
      </c>
    </row>
    <row r="6" ht="18" customHeight="1">
      <c r="A6" s="7" t="n">
        <v>1</v>
      </c>
      <c r="B6" s="8" t="inlineStr">
        <is>
          <t>NYLON WHEEL 6" WITH BRACKET (REVOLVING)</t>
        </is>
      </c>
      <c r="C6" s="9" t="inlineStr">
        <is>
          <t>PCS</t>
        </is>
      </c>
      <c r="D6" s="10" t="n">
        <v>40</v>
      </c>
      <c r="E6" s="11" t="n"/>
      <c r="F6" s="12">
        <f>IF(E6="","",D6*E6)</f>
        <v/>
      </c>
    </row>
    <row r="7" ht="18" customHeight="1">
      <c r="A7" s="13" t="n">
        <v>2</v>
      </c>
      <c r="B7" s="14" t="inlineStr">
        <is>
          <t>AIR FRESHNER ROOM SPRAY 300ML TOPIC BRAND</t>
        </is>
      </c>
      <c r="C7" s="15" t="inlineStr">
        <is>
          <t>PCS</t>
        </is>
      </c>
      <c r="D7" s="16" t="n">
        <v>96</v>
      </c>
      <c r="E7" s="11" t="n"/>
      <c r="F7" s="12">
        <f>IF(E7="","",D7*E7)</f>
        <v/>
      </c>
    </row>
    <row r="8" ht="18" customHeight="1">
      <c r="A8" s="7" t="n">
        <v>3</v>
      </c>
      <c r="B8" s="8" t="inlineStr">
        <is>
          <t>BLEACH 30KG LOCAL</t>
        </is>
      </c>
      <c r="C8" s="9" t="inlineStr">
        <is>
          <t>CAN</t>
        </is>
      </c>
      <c r="D8" s="10" t="n">
        <v>8</v>
      </c>
      <c r="E8" s="11" t="n"/>
      <c r="F8" s="12">
        <f>IF(E8="","",D8*E8)</f>
        <v/>
      </c>
    </row>
    <row r="9" ht="18" customHeight="1">
      <c r="A9" s="13" t="n">
        <v>4</v>
      </c>
      <c r="B9" s="14" t="inlineStr">
        <is>
          <t>BROOM HARD</t>
        </is>
      </c>
      <c r="C9" s="15" t="inlineStr">
        <is>
          <t>PCS</t>
        </is>
      </c>
      <c r="D9" s="16" t="n">
        <v>200</v>
      </c>
      <c r="E9" s="11" t="n"/>
      <c r="F9" s="12">
        <f>IF(E9="","",D9*E9)</f>
        <v/>
      </c>
    </row>
    <row r="10" ht="18" customHeight="1">
      <c r="A10" s="7" t="n">
        <v>5</v>
      </c>
      <c r="B10" s="8" t="inlineStr">
        <is>
          <t>BROOM SOFT</t>
        </is>
      </c>
      <c r="C10" s="9" t="inlineStr">
        <is>
          <t>PCS</t>
        </is>
      </c>
      <c r="D10" s="10" t="n">
        <v>200</v>
      </c>
      <c r="E10" s="11" t="n"/>
      <c r="F10" s="12">
        <f>IF(E10="","",D10*E10)</f>
        <v/>
      </c>
    </row>
    <row r="11" ht="18" customHeight="1">
      <c r="A11" s="13" t="n">
        <v>6</v>
      </c>
      <c r="B11" s="14" t="inlineStr">
        <is>
          <t>CHINA BRUSH</t>
        </is>
      </c>
      <c r="C11" s="15" t="inlineStr">
        <is>
          <t>PCS</t>
        </is>
      </c>
      <c r="D11" s="16" t="n">
        <v>130</v>
      </c>
      <c r="E11" s="11" t="n"/>
      <c r="F11" s="12">
        <f>IF(E11="","",D11*E11)</f>
        <v/>
      </c>
    </row>
    <row r="12" ht="18" customHeight="1">
      <c r="A12" s="7" t="n">
        <v>7</v>
      </c>
      <c r="B12" s="8" t="inlineStr">
        <is>
          <t>DUSTBIN BAG 30 X 50 BLACK</t>
        </is>
      </c>
      <c r="C12" s="9" t="inlineStr">
        <is>
          <t>KG</t>
        </is>
      </c>
      <c r="D12" s="10" t="n">
        <v>48</v>
      </c>
      <c r="E12" s="11" t="n"/>
      <c r="F12" s="12">
        <f>IF(E12="","",D12*E12)</f>
        <v/>
      </c>
    </row>
    <row r="13" ht="18" customHeight="1">
      <c r="A13" s="13" t="n">
        <v>8</v>
      </c>
      <c r="B13" s="14" t="inlineStr">
        <is>
          <t>DUSTER FABRIC</t>
        </is>
      </c>
      <c r="C13" s="15" t="inlineStr">
        <is>
          <t>PCS</t>
        </is>
      </c>
      <c r="D13" s="16" t="n">
        <v>100</v>
      </c>
      <c r="E13" s="11" t="n"/>
      <c r="F13" s="12">
        <f>IF(E13="","",D13*E13)</f>
        <v/>
      </c>
    </row>
    <row r="14" ht="18" customHeight="1">
      <c r="A14" s="7" t="n">
        <v>9</v>
      </c>
      <c r="B14" s="8" t="inlineStr">
        <is>
          <t>GLASS CLEANER GLINT 500 ML</t>
        </is>
      </c>
      <c r="C14" s="9" t="inlineStr">
        <is>
          <t>BTL</t>
        </is>
      </c>
      <c r="D14" s="10" t="n">
        <v>24</v>
      </c>
      <c r="E14" s="11" t="n"/>
      <c r="F14" s="12">
        <f>IF(E14="","",D14*E14)</f>
        <v/>
      </c>
    </row>
    <row r="15" ht="18" customHeight="1">
      <c r="A15" s="13" t="n">
        <v>10</v>
      </c>
      <c r="B15" s="14" t="inlineStr">
        <is>
          <t>HAND BRUSH</t>
        </is>
      </c>
      <c r="C15" s="15" t="inlineStr">
        <is>
          <t>PCS</t>
        </is>
      </c>
      <c r="D15" s="16" t="n">
        <v>24</v>
      </c>
      <c r="E15" s="11" t="n"/>
      <c r="F15" s="12">
        <f>IF(E15="","",D15*E15)</f>
        <v/>
      </c>
    </row>
    <row r="16" ht="18" customHeight="1">
      <c r="A16" s="7" t="n">
        <v>11</v>
      </c>
      <c r="B16" s="8" t="inlineStr">
        <is>
          <t>HANDWASH LIFEBOY 140 ML</t>
        </is>
      </c>
      <c r="C16" s="9" t="inlineStr">
        <is>
          <t>BTL</t>
        </is>
      </c>
      <c r="D16" s="10" t="n">
        <v>48</v>
      </c>
      <c r="E16" s="11" t="n"/>
      <c r="F16" s="12">
        <f>IF(E16="","",D16*E16)</f>
        <v/>
      </c>
    </row>
    <row r="17" ht="18" customHeight="1">
      <c r="A17" s="13" t="n">
        <v>12</v>
      </c>
      <c r="B17" s="14" t="inlineStr">
        <is>
          <t>LEMON MAX BAR 285 GRAMS</t>
        </is>
      </c>
      <c r="C17" s="15" t="inlineStr">
        <is>
          <t>PCS</t>
        </is>
      </c>
      <c r="D17" s="16" t="n">
        <v>48</v>
      </c>
      <c r="E17" s="11" t="n"/>
      <c r="F17" s="12">
        <f>IF(E17="","",D17*E17)</f>
        <v/>
      </c>
    </row>
    <row r="18" ht="18" customHeight="1">
      <c r="A18" s="7" t="n">
        <v>13</v>
      </c>
      <c r="B18" s="8" t="inlineStr">
        <is>
          <t>LUX SOAP 70 GRAMS</t>
        </is>
      </c>
      <c r="C18" s="9" t="inlineStr">
        <is>
          <t>PCS</t>
        </is>
      </c>
      <c r="D18" s="10" t="n">
        <v>100</v>
      </c>
      <c r="E18" s="11" t="n"/>
      <c r="F18" s="12">
        <f>IF(E18="","",D18*E18)</f>
        <v/>
      </c>
    </row>
    <row r="19" ht="18" customHeight="1">
      <c r="A19" s="13" t="n">
        <v>14</v>
      </c>
      <c r="B19" s="14" t="inlineStr">
        <is>
          <t>MOP BIG 18 X 18 WOODEN</t>
        </is>
      </c>
      <c r="C19" s="15" t="inlineStr">
        <is>
          <t>PCS</t>
        </is>
      </c>
      <c r="D19" s="16" t="n">
        <v>100</v>
      </c>
      <c r="E19" s="11" t="n"/>
      <c r="F19" s="12">
        <f>IF(E19="","",D19*E19)</f>
        <v/>
      </c>
    </row>
    <row r="20" ht="18" customHeight="1">
      <c r="A20" s="7" t="n">
        <v>15</v>
      </c>
      <c r="B20" s="8" t="inlineStr">
        <is>
          <t>MOP REFILL (600 GRAM)</t>
        </is>
      </c>
      <c r="C20" s="9" t="inlineStr">
        <is>
          <t>PCS</t>
        </is>
      </c>
      <c r="D20" s="10" t="n">
        <v>300</v>
      </c>
      <c r="E20" s="11" t="n"/>
      <c r="F20" s="12">
        <f>IF(E20="","",D20*E20)</f>
        <v/>
      </c>
    </row>
    <row r="21" ht="18" customHeight="1">
      <c r="A21" s="13" t="n">
        <v>16</v>
      </c>
      <c r="B21" s="14" t="inlineStr">
        <is>
          <t>MOP STICK</t>
        </is>
      </c>
      <c r="C21" s="15" t="inlineStr">
        <is>
          <t>PCS</t>
        </is>
      </c>
      <c r="D21" s="16" t="n">
        <v>48</v>
      </c>
      <c r="E21" s="11" t="n"/>
      <c r="F21" s="12">
        <f>IF(E21="","",D21*E21)</f>
        <v/>
      </c>
    </row>
    <row r="22" ht="18" customHeight="1">
      <c r="A22" s="7" t="n">
        <v>17</v>
      </c>
      <c r="B22" s="8" t="inlineStr">
        <is>
          <t>PHENYL ZIP LOCAL 3 LTR</t>
        </is>
      </c>
      <c r="C22" s="9" t="inlineStr">
        <is>
          <t>BTL</t>
        </is>
      </c>
      <c r="D22" s="10" t="n">
        <v>200</v>
      </c>
      <c r="E22" s="11" t="n"/>
      <c r="F22" s="12">
        <f>IF(E22="","",D22*E22)</f>
        <v/>
      </c>
    </row>
    <row r="23" ht="18" customHeight="1">
      <c r="A23" s="13" t="n">
        <v>18</v>
      </c>
      <c r="B23" s="14" t="inlineStr">
        <is>
          <t>ROOMI BOX</t>
        </is>
      </c>
      <c r="C23" s="15" t="inlineStr">
        <is>
          <t>CTN</t>
        </is>
      </c>
      <c r="D23" s="16" t="n">
        <v>1</v>
      </c>
      <c r="E23" s="11" t="n"/>
      <c r="F23" s="12">
        <f>IF(E23="","",D23*E23)</f>
        <v/>
      </c>
    </row>
    <row r="24" ht="18" customHeight="1">
      <c r="A24" s="7" t="n">
        <v>19</v>
      </c>
      <c r="B24" s="8" t="inlineStr">
        <is>
          <t>SAFTY MATCH 10 PCS</t>
        </is>
      </c>
      <c r="C24" s="9" t="inlineStr">
        <is>
          <t>PKT</t>
        </is>
      </c>
      <c r="D24" s="10" t="n">
        <v>15</v>
      </c>
      <c r="E24" s="11" t="n"/>
      <c r="F24" s="12">
        <f>IF(E24="","",D24*E24)</f>
        <v/>
      </c>
    </row>
    <row r="25" ht="18" customHeight="1">
      <c r="A25" s="13" t="n">
        <v>20</v>
      </c>
      <c r="B25" s="14" t="inlineStr">
        <is>
          <t>SCRAPER PLASTIC SUPRI</t>
        </is>
      </c>
      <c r="C25" s="15" t="inlineStr">
        <is>
          <t>PCS</t>
        </is>
      </c>
      <c r="D25" s="16" t="n">
        <v>48</v>
      </c>
      <c r="E25" s="11" t="n"/>
      <c r="F25" s="12">
        <f>IF(E25="","",D25*E25)</f>
        <v/>
      </c>
    </row>
    <row r="26" ht="18" customHeight="1">
      <c r="A26" s="7" t="n">
        <v>21</v>
      </c>
      <c r="B26" s="8" t="inlineStr">
        <is>
          <t>SURF LOOSE LOCAL</t>
        </is>
      </c>
      <c r="C26" s="9" t="inlineStr">
        <is>
          <t>KG</t>
        </is>
      </c>
      <c r="D26" s="10" t="n">
        <v>50</v>
      </c>
      <c r="E26" s="11" t="n"/>
      <c r="F26" s="12">
        <f>IF(E26="","",D26*E26)</f>
        <v/>
      </c>
    </row>
    <row r="27" ht="18" customHeight="1">
      <c r="A27" s="13" t="n">
        <v>22</v>
      </c>
      <c r="B27" s="14" t="inlineStr">
        <is>
          <t>TILE WASH SWEEP LOCAL 30KG</t>
        </is>
      </c>
      <c r="C27" s="15" t="inlineStr">
        <is>
          <t>CAN</t>
        </is>
      </c>
      <c r="D27" s="16" t="n">
        <v>9</v>
      </c>
      <c r="E27" s="11" t="n"/>
      <c r="F27" s="12">
        <f>IF(E27="","",D27*E27)</f>
        <v/>
      </c>
    </row>
    <row r="28" ht="18" customHeight="1">
      <c r="A28" s="7" t="n">
        <v>23</v>
      </c>
      <c r="B28" s="8" t="inlineStr">
        <is>
          <t>TISSUE BOX ROSE PETAL POP UP 150 SHEET</t>
        </is>
      </c>
      <c r="C28" s="9" t="inlineStr">
        <is>
          <t>PKT</t>
        </is>
      </c>
      <c r="D28" s="10" t="n">
        <v>300</v>
      </c>
      <c r="E28" s="11" t="n"/>
      <c r="F28" s="12">
        <f>IF(E28="","",D28*E28)</f>
        <v/>
      </c>
    </row>
    <row r="29" ht="18" customHeight="1">
      <c r="A29" s="13" t="n">
        <v>24</v>
      </c>
      <c r="B29" s="14" t="inlineStr">
        <is>
          <t>TISSUE PAPER ROLL</t>
        </is>
      </c>
      <c r="C29" s="15" t="inlineStr">
        <is>
          <t>PCS</t>
        </is>
      </c>
      <c r="D29" s="16" t="n">
        <v>200</v>
      </c>
      <c r="E29" s="11" t="n"/>
      <c r="F29" s="12">
        <f>IF(E29="","",D29*E29)</f>
        <v/>
      </c>
    </row>
    <row r="30" ht="18" customHeight="1">
      <c r="A30" s="7" t="n">
        <v>25</v>
      </c>
      <c r="B30" s="8" t="inlineStr">
        <is>
          <t>VIM TOILET BLEACH POWDER LOSE LOCAL</t>
        </is>
      </c>
      <c r="C30" s="9" t="inlineStr">
        <is>
          <t>PCS</t>
        </is>
      </c>
      <c r="D30" s="10" t="n">
        <v>24</v>
      </c>
      <c r="E30" s="11" t="n"/>
      <c r="F30" s="12">
        <f>IF(E30="","",D30*E30)</f>
        <v/>
      </c>
    </row>
    <row r="31" ht="18" customHeight="1">
      <c r="A31" s="13" t="n">
        <v>26</v>
      </c>
      <c r="B31" s="14" t="inlineStr">
        <is>
          <t>CERAMIC FIBRE ROPE 10MM DIA X 30M TEMP 150-200C</t>
        </is>
      </c>
      <c r="C31" s="15" t="inlineStr">
        <is>
          <t>PCS</t>
        </is>
      </c>
      <c r="D31" s="16" t="n">
        <v>4</v>
      </c>
      <c r="E31" s="11" t="n"/>
      <c r="F31" s="12">
        <f>IF(E31="","",D31*E31)</f>
        <v/>
      </c>
    </row>
    <row r="32" ht="18" customHeight="1">
      <c r="A32" s="7" t="n">
        <v>27</v>
      </c>
      <c r="B32" s="8" t="inlineStr">
        <is>
          <t>CERAMIC PLATES WHITE 12INCH</t>
        </is>
      </c>
      <c r="C32" s="9" t="inlineStr">
        <is>
          <t>PCS</t>
        </is>
      </c>
      <c r="D32" s="10" t="n">
        <v>12</v>
      </c>
      <c r="E32" s="11" t="n"/>
      <c r="F32" s="12">
        <f>IF(E32="","",D32*E32)</f>
        <v/>
      </c>
    </row>
    <row r="33" ht="18" customHeight="1">
      <c r="A33" s="13" t="n">
        <v>28</v>
      </c>
      <c r="B33" s="14" t="inlineStr">
        <is>
          <t>CERAMIC PLATES WHITE 8INCH</t>
        </is>
      </c>
      <c r="C33" s="15" t="inlineStr">
        <is>
          <t>PCS</t>
        </is>
      </c>
      <c r="D33" s="16" t="n">
        <v>12</v>
      </c>
      <c r="E33" s="11" t="n"/>
      <c r="F33" s="12">
        <f>IF(E33="","",D33*E33)</f>
        <v/>
      </c>
    </row>
    <row r="34" ht="18" customHeight="1">
      <c r="A34" s="7" t="n">
        <v>29</v>
      </c>
      <c r="B34" s="8" t="inlineStr">
        <is>
          <t>GLASS 6 PCS SET</t>
        </is>
      </c>
      <c r="C34" s="9" t="inlineStr">
        <is>
          <t>SET</t>
        </is>
      </c>
      <c r="D34" s="10" t="n">
        <v>1</v>
      </c>
      <c r="E34" s="11" t="n"/>
      <c r="F34" s="12">
        <f>IF(E34="","",D34*E34)</f>
        <v/>
      </c>
    </row>
    <row r="35" ht="18" customHeight="1">
      <c r="A35" s="13" t="n">
        <v>30</v>
      </c>
      <c r="B35" s="14" t="inlineStr">
        <is>
          <t>TABLE SPOON STAINLESS STEEL</t>
        </is>
      </c>
      <c r="C35" s="15" t="inlineStr">
        <is>
          <t>DZN</t>
        </is>
      </c>
      <c r="D35" s="16" t="n">
        <v>2</v>
      </c>
      <c r="E35" s="11" t="n"/>
      <c r="F35" s="12">
        <f>IF(E35="","",D35*E35)</f>
        <v/>
      </c>
    </row>
    <row r="36" ht="18" customHeight="1">
      <c r="A36" s="7" t="n">
        <v>31</v>
      </c>
      <c r="B36" s="8" t="inlineStr">
        <is>
          <t>COFFEE (100G)</t>
        </is>
      </c>
      <c r="C36" s="9" t="inlineStr">
        <is>
          <t>PCS</t>
        </is>
      </c>
      <c r="D36" s="10" t="n">
        <v>3</v>
      </c>
      <c r="E36" s="11" t="n"/>
      <c r="F36" s="12">
        <f>IF(E36="","",D36*E36)</f>
        <v/>
      </c>
    </row>
    <row r="37" ht="18" customHeight="1">
      <c r="A37" s="13" t="n">
        <v>32</v>
      </c>
      <c r="B37" s="14" t="inlineStr">
        <is>
          <t>EVERY DAY TEA WHITENER 2KG 1 POUCH</t>
        </is>
      </c>
      <c r="C37" s="15" t="inlineStr">
        <is>
          <t>PKT</t>
        </is>
      </c>
      <c r="D37" s="16" t="n">
        <v>260</v>
      </c>
      <c r="E37" s="11" t="n"/>
      <c r="F37" s="12">
        <f>IF(E37="","",D37*E37)</f>
        <v/>
      </c>
    </row>
    <row r="38" ht="18" customHeight="1">
      <c r="A38" s="7" t="n">
        <v>33</v>
      </c>
      <c r="B38" s="8" t="inlineStr">
        <is>
          <t>LIPTON LEMON GREEN TEA 100 BAGS</t>
        </is>
      </c>
      <c r="C38" s="9" t="inlineStr">
        <is>
          <t>PKT</t>
        </is>
      </c>
      <c r="D38" s="10" t="n">
        <v>30</v>
      </c>
      <c r="E38" s="11" t="n"/>
      <c r="F38" s="12">
        <f>IF(E38="","",D38*E38)</f>
        <v/>
      </c>
    </row>
    <row r="39" ht="18" customHeight="1">
      <c r="A39" s="13" t="n">
        <v>34</v>
      </c>
      <c r="B39" s="14" t="inlineStr">
        <is>
          <t>LIPTON TEA BAG 600 BAGS</t>
        </is>
      </c>
      <c r="C39" s="15" t="inlineStr">
        <is>
          <t>BOX</t>
        </is>
      </c>
      <c r="D39" s="16" t="n">
        <v>10</v>
      </c>
      <c r="E39" s="11" t="n"/>
      <c r="F39" s="12">
        <f>IF(E39="","",D39*E39)</f>
        <v/>
      </c>
    </row>
    <row r="40" ht="18" customHeight="1">
      <c r="A40" s="7" t="n">
        <v>35</v>
      </c>
      <c r="B40" s="8" t="inlineStr">
        <is>
          <t>NESCAFE (200GM)</t>
        </is>
      </c>
      <c r="C40" s="9" t="inlineStr">
        <is>
          <t>PCS</t>
        </is>
      </c>
      <c r="D40" s="10" t="n">
        <v>23</v>
      </c>
      <c r="E40" s="11" t="n"/>
      <c r="F40" s="12">
        <f>IF(E40="","",D40*E40)</f>
        <v/>
      </c>
    </row>
    <row r="41" ht="18" customHeight="1">
      <c r="A41" s="13" t="n">
        <v>36</v>
      </c>
      <c r="B41" s="14" t="inlineStr">
        <is>
          <t>NESTLE WATER 500 ML</t>
        </is>
      </c>
      <c r="C41" s="15" t="inlineStr">
        <is>
          <t>CRT</t>
        </is>
      </c>
      <c r="D41" s="16" t="n">
        <v>23</v>
      </c>
      <c r="E41" s="11" t="n"/>
      <c r="F41" s="12">
        <f>IF(E41="","",D41*E41)</f>
        <v/>
      </c>
    </row>
    <row r="42" ht="18" customHeight="1">
      <c r="A42" s="7" t="n">
        <v>37</v>
      </c>
      <c r="B42" s="8" t="inlineStr">
        <is>
          <t>SUGAR 2 KGS PACK</t>
        </is>
      </c>
      <c r="C42" s="9" t="inlineStr">
        <is>
          <t>PKT</t>
        </is>
      </c>
      <c r="D42" s="10" t="n">
        <v>350</v>
      </c>
      <c r="E42" s="11" t="n"/>
      <c r="F42" s="12">
        <f>IF(E42="","",D42*E42)</f>
        <v/>
      </c>
    </row>
    <row r="43" ht="18" customHeight="1">
      <c r="A43" s="13" t="n">
        <v>38</v>
      </c>
      <c r="B43" s="14" t="inlineStr">
        <is>
          <t>TAPAL FAMILY MIXTURE (900GM)</t>
        </is>
      </c>
      <c r="C43" s="15" t="inlineStr">
        <is>
          <t>PKT</t>
        </is>
      </c>
      <c r="D43" s="16" t="n">
        <v>176</v>
      </c>
      <c r="E43" s="11" t="n"/>
      <c r="F43" s="12">
        <f>IF(E43="","",D43*E43)</f>
        <v/>
      </c>
    </row>
    <row r="44" ht="24" customHeight="1">
      <c r="A44" s="17" t="inlineStr">
        <is>
          <t>TOTAL PURCHASED</t>
        </is>
      </c>
      <c r="F44" s="18">
        <f>SUM(F6:F43)</f>
        <v/>
      </c>
    </row>
    <row r="45" ht="24" customHeight="1">
      <c r="A45" s="19" t="inlineStr">
        <is>
          <t>BALANCE  (Advance − Total)</t>
        </is>
      </c>
      <c r="F45" s="20">
        <f>IF(F3="","",F3-F44)</f>
        <v/>
      </c>
    </row>
    <row r="47">
      <c r="A47" s="21" t="inlineStr">
        <is>
          <t>📝  KASHIF: Sirf RATE (PKR) column fill karein — orange cells mein.  |  Hassan: Date, Customer aur Advance pehle fill karein.</t>
        </is>
      </c>
    </row>
  </sheetData>
  <mergeCells count="7">
    <mergeCell ref="A47:F47"/>
    <mergeCell ref="B3:C3"/>
    <mergeCell ref="A1:F1"/>
    <mergeCell ref="A2"/>
    <mergeCell ref="A45:E45"/>
    <mergeCell ref="A44:E44"/>
    <mergeCell ref="D3:E3"/>
  </mergeCells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2026-06-17T11:56:55Z</dcterms:created>
  <dcterms:modified xsi:type="dcterms:W3CDTF">2026-06-17T11:56:55Z</dcterms:modified>
</cp:coreProperties>
</file>