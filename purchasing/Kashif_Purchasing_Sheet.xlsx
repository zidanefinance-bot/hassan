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rchasing Sheet" sheetId="1" state="visible" r:id="rId1"/>
  </sheets>
  <definedNames>
    <definedName name="_xlnm.Print_Titles" localSheetId="0">'Purchasing Sheet'!$1:$5</definedName>
  </definedNames>
  <calcPr calcId="124519" fullCalcOnLoad="1"/>
</workbook>
</file>

<file path=xl/styles.xml><?xml version="1.0" encoding="utf-8"?>
<styleSheet xmlns="http://schemas.openxmlformats.org/spreadsheetml/2006/main">
  <numFmts count="1">
    <numFmt numFmtId="164" formatCode="DD-MMM-YYYY"/>
  </numFmts>
  <fonts count="19">
    <font>
      <name val="Calibri"/>
      <family val="2"/>
      <color theme="1"/>
      <sz val="11"/>
      <scheme val="minor"/>
    </font>
    <font>
      <name val="Calibri"/>
      <b val="1"/>
      <color rgb="00FFFFFF"/>
      <sz val="14"/>
    </font>
    <font>
      <name val="Calibri"/>
      <b val="1"/>
      <color rgb="00444444"/>
      <sz val="9"/>
    </font>
    <font>
      <name val="Calibri"/>
      <b val="1"/>
      <color rgb="001A3A6B"/>
      <sz val="12"/>
    </font>
    <font>
      <name val="Calibri"/>
      <b val="1"/>
      <color rgb="00FFFFFF"/>
      <sz val="11"/>
    </font>
    <font>
      <name val="Calibri"/>
      <color rgb="00999999"/>
      <sz val="10"/>
    </font>
    <font>
      <name val="Calibri"/>
      <color rgb="00000000"/>
      <sz val="11"/>
    </font>
    <font>
      <name val="Calibri"/>
      <color rgb="00555555"/>
      <sz val="11"/>
    </font>
    <font>
      <name val="Calibri"/>
      <b val="1"/>
      <color rgb="00000000"/>
      <sz val="11"/>
    </font>
    <font>
      <name val="Calibri"/>
      <b val="1"/>
      <color rgb="00C0392B"/>
      <sz val="12"/>
    </font>
    <font>
      <name val="Calibri"/>
      <b val="1"/>
      <color rgb="001A3A6B"/>
      <sz val="11"/>
    </font>
    <font>
      <name val="Calibri"/>
      <color rgb="00333333"/>
      <sz val="11"/>
    </font>
    <font>
      <name val="Calibri"/>
      <b val="1"/>
      <color rgb="001E6B3A"/>
      <sz val="11"/>
    </font>
    <font>
      <name val="Calibri"/>
      <b val="1"/>
      <color rgb="00FFFFFF"/>
      <sz val="13"/>
    </font>
    <font>
      <name val="Calibri"/>
      <color rgb="001E6B3A"/>
      <sz val="11"/>
    </font>
    <font>
      <name val="Calibri"/>
      <color rgb="008B0000"/>
      <sz val="11"/>
    </font>
    <font>
      <name val="Calibri"/>
      <b val="1"/>
      <color rgb="008B0000"/>
      <sz val="11"/>
    </font>
    <font>
      <name val="Calibri"/>
      <color rgb="00333333"/>
      <sz val="10"/>
    </font>
    <font>
      <name val="Calibri"/>
      <color rgb="00555555"/>
      <sz val="10"/>
    </font>
  </fonts>
  <fills count="16">
    <fill>
      <patternFill/>
    </fill>
    <fill>
      <patternFill patternType="gray125"/>
    </fill>
    <fill>
      <patternFill patternType="solid">
        <fgColor rgb="001A3A6B"/>
      </patternFill>
    </fill>
    <fill>
      <patternFill patternType="solid">
        <fgColor rgb="00D6E4F0"/>
      </patternFill>
    </fill>
    <fill>
      <patternFill patternType="solid">
        <fgColor rgb="00FFF2CC"/>
      </patternFill>
    </fill>
    <fill>
      <patternFill patternType="solid">
        <fgColor rgb="002E75B6"/>
      </patternFill>
    </fill>
    <fill>
      <patternFill patternType="solid">
        <fgColor rgb="00FFFFFF"/>
      </patternFill>
    </fill>
    <fill>
      <patternFill patternType="solid">
        <fgColor rgb="00FCE4D6"/>
      </patternFill>
    </fill>
    <fill>
      <patternFill patternType="solid">
        <fgColor rgb="00EAD1DC"/>
      </patternFill>
    </fill>
    <fill>
      <patternFill patternType="solid">
        <fgColor rgb="00E2EFDA"/>
      </patternFill>
    </fill>
    <fill>
      <patternFill patternType="solid">
        <fgColor rgb="00F5F5F5"/>
      </patternFill>
    </fill>
    <fill>
      <patternFill patternType="solid">
        <fgColor rgb="00F5E6EE"/>
      </patternFill>
    </fill>
    <fill>
      <patternFill patternType="solid">
        <fgColor rgb="00FDEDEC"/>
      </patternFill>
    </fill>
    <fill>
      <patternFill patternType="solid">
        <fgColor rgb="007B3F00"/>
      </patternFill>
    </fill>
    <fill>
      <patternFill patternType="solid">
        <fgColor rgb="00FFF8F0"/>
      </patternFill>
    </fill>
    <fill>
      <patternFill patternType="solid">
        <fgColor rgb="00FEF0E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164" fontId="3" fillId="4" borderId="1" applyAlignment="1" pivotButton="0" quotePrefix="0" xfId="0">
      <alignment horizontal="center" vertical="center"/>
    </xf>
    <xf numFmtId="49" fontId="3" fillId="4" borderId="1" applyAlignment="1" pivotButton="0" quotePrefix="0" xfId="0">
      <alignment horizontal="left" vertical="center"/>
    </xf>
    <xf numFmtId="3" fontId="3" fillId="4"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6" fillId="6" borderId="1" applyAlignment="1" pivotButton="0" quotePrefix="0" xfId="0">
      <alignment horizontal="left" vertical="center" wrapText="1"/>
    </xf>
    <xf numFmtId="0" fontId="7" fillId="6" borderId="1" applyAlignment="1" pivotButton="0" quotePrefix="0" xfId="0">
      <alignment horizontal="center" vertical="center"/>
    </xf>
    <xf numFmtId="3" fontId="8" fillId="6" borderId="1" applyAlignment="1" pivotButton="0" quotePrefix="0" xfId="0">
      <alignment horizontal="center" vertical="center"/>
    </xf>
    <xf numFmtId="3" fontId="9" fillId="7" borderId="1" applyAlignment="1" pivotButton="0" quotePrefix="0" xfId="0">
      <alignment horizontal="right" vertical="center"/>
    </xf>
    <xf numFmtId="3" fontId="10" fillId="3" borderId="1" applyAlignment="1" pivotButton="0" quotePrefix="0" xfId="0">
      <alignment horizontal="right" vertical="center"/>
    </xf>
    <xf numFmtId="0" fontId="11" fillId="8" borderId="1" applyAlignment="1" pivotButton="0" quotePrefix="0" xfId="0">
      <alignment horizontal="left" vertical="center"/>
    </xf>
    <xf numFmtId="0" fontId="12" fillId="9" borderId="1" applyAlignment="1" pivotButton="0" quotePrefix="0" xfId="0">
      <alignment horizontal="center" vertical="center"/>
    </xf>
    <xf numFmtId="0" fontId="5" fillId="10" borderId="1" applyAlignment="1" pivotButton="0" quotePrefix="0" xfId="0">
      <alignment horizontal="center" vertical="center"/>
    </xf>
    <xf numFmtId="0" fontId="6" fillId="10" borderId="1" applyAlignment="1" pivotButton="0" quotePrefix="0" xfId="0">
      <alignment horizontal="left" vertical="center" wrapText="1"/>
    </xf>
    <xf numFmtId="0" fontId="7" fillId="10" borderId="1" applyAlignment="1" pivotButton="0" quotePrefix="0" xfId="0">
      <alignment horizontal="center" vertical="center"/>
    </xf>
    <xf numFmtId="3" fontId="8" fillId="10" borderId="1" applyAlignment="1" pivotButton="0" quotePrefix="0" xfId="0">
      <alignment horizontal="center" vertical="center"/>
    </xf>
    <xf numFmtId="0" fontId="11" fillId="11" borderId="1" applyAlignment="1" pivotButton="0" quotePrefix="0" xfId="0">
      <alignment horizontal="left" vertical="center"/>
    </xf>
    <xf numFmtId="0" fontId="13" fillId="2" borderId="1" applyAlignment="1" pivotButton="0" quotePrefix="0" xfId="0">
      <alignment horizontal="right" vertical="center"/>
    </xf>
    <xf numFmtId="3" fontId="13" fillId="2" borderId="1" applyAlignment="1" pivotButton="0" quotePrefix="0" xfId="0">
      <alignment horizontal="right" vertical="center"/>
    </xf>
    <xf numFmtId="0" fontId="14" fillId="9" borderId="1" applyAlignment="1" pivotButton="0" quotePrefix="0" xfId="0">
      <alignment horizontal="right" vertical="center"/>
    </xf>
    <xf numFmtId="3" fontId="12" fillId="9" borderId="1" applyAlignment="1" pivotButton="0" quotePrefix="0" xfId="0">
      <alignment horizontal="right" vertical="center"/>
    </xf>
    <xf numFmtId="0" fontId="15" fillId="12" borderId="1" applyAlignment="1" pivotButton="0" quotePrefix="0" xfId="0">
      <alignment horizontal="right" vertical="center"/>
    </xf>
    <xf numFmtId="3" fontId="16" fillId="12" borderId="1" applyAlignment="1" pivotButton="0" quotePrefix="0" xfId="0">
      <alignment horizontal="right" vertical="center"/>
    </xf>
    <xf numFmtId="0" fontId="3" fillId="4" borderId="1" applyAlignment="1" pivotButton="0" quotePrefix="0" xfId="0">
      <alignment horizontal="right" vertical="center"/>
    </xf>
    <xf numFmtId="3" fontId="3" fillId="4" borderId="1" applyAlignment="1" pivotButton="0" quotePrefix="0" xfId="0">
      <alignment horizontal="right" vertical="center"/>
    </xf>
    <xf numFmtId="0" fontId="4" fillId="13" borderId="0" applyAlignment="1" pivotButton="0" quotePrefix="0" xfId="0">
      <alignment horizontal="center" vertical="center"/>
    </xf>
    <xf numFmtId="0" fontId="4" fillId="13" borderId="1" applyAlignment="1" pivotButton="0" quotePrefix="0" xfId="0">
      <alignment horizontal="center" vertical="center"/>
    </xf>
    <xf numFmtId="0" fontId="8" fillId="14" borderId="1" applyAlignment="1" pivotButton="0" quotePrefix="0" xfId="0">
      <alignment horizontal="left" vertical="center"/>
    </xf>
    <xf numFmtId="0" fontId="17" fillId="14" borderId="1" applyAlignment="1" pivotButton="0" quotePrefix="0" xfId="0">
      <alignment horizontal="left" vertical="center"/>
    </xf>
    <xf numFmtId="0" fontId="18" fillId="14" borderId="1" applyAlignment="1" pivotButton="0" quotePrefix="0" xfId="0">
      <alignment horizontal="left" vertical="center"/>
    </xf>
    <xf numFmtId="0" fontId="8" fillId="15" borderId="1" applyAlignment="1" pivotButton="0" quotePrefix="0" xfId="0">
      <alignment horizontal="left" vertical="center"/>
    </xf>
    <xf numFmtId="0" fontId="17" fillId="15" borderId="1" applyAlignment="1" pivotButton="0" quotePrefix="0" xfId="0">
      <alignment horizontal="left" vertical="center"/>
    </xf>
    <xf numFmtId="0" fontId="18" fillId="1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4"/>
  <sheetViews>
    <sheetView workbookViewId="0">
      <pane ySplit="5" topLeftCell="A6" activePane="bottomLeft" state="frozen"/>
      <selection pane="bottomLeft" activeCell="A1" sqref="A1"/>
    </sheetView>
  </sheetViews>
  <sheetFormatPr baseColWidth="8" defaultRowHeight="15"/>
  <cols>
    <col width="5" customWidth="1" min="1" max="1"/>
    <col width="40" customWidth="1" min="2" max="2"/>
    <col width="7" customWidth="1" min="3" max="3"/>
    <col width="7" customWidth="1" min="4" max="4"/>
    <col width="13" customWidth="1" min="5" max="5"/>
    <col width="14" customWidth="1" min="6" max="6"/>
    <col width="22" customWidth="1" min="7" max="7"/>
    <col width="10" customWidth="1" min="8" max="8"/>
  </cols>
  <sheetData>
    <row r="1" ht="30" customHeight="1">
      <c r="A1" s="1" t="inlineStr">
        <is>
          <t>ZIDANE CORPORATION  ·  PURCHASING SHEET</t>
        </is>
      </c>
    </row>
    <row r="2" ht="16" customHeight="1">
      <c r="B2" s="2" t="inlineStr">
        <is>
          <t>DATE</t>
        </is>
      </c>
      <c r="C2" s="2" t="inlineStr"/>
      <c r="D2" s="2" t="inlineStr">
        <is>
          <t>CUSTOMER / ORDER</t>
        </is>
      </c>
      <c r="E2" s="2" t="inlineStr"/>
      <c r="F2" s="2" t="inlineStr">
        <is>
          <t>ADVANCE GIVEN (PKR)</t>
        </is>
      </c>
      <c r="G2" s="2" t="inlineStr">
        <is>
          <t>PAID FROM (ACCOUNT)</t>
        </is>
      </c>
      <c r="H2" s="2" t="inlineStr"/>
    </row>
    <row r="3" ht="22" customHeight="1">
      <c r="B3" s="3" t="n"/>
      <c r="D3" s="4" t="n"/>
      <c r="F3" s="5" t="n"/>
      <c r="G3" s="4" t="n"/>
    </row>
    <row r="4" ht="5" customHeight="1"/>
    <row r="5" ht="22" customHeight="1">
      <c r="A5" s="6" t="inlineStr">
        <is>
          <t>#</t>
        </is>
      </c>
      <c r="B5" s="6" t="inlineStr">
        <is>
          <t>ITEM DESCRIPTION</t>
        </is>
      </c>
      <c r="C5" s="6" t="inlineStr">
        <is>
          <t>UOM</t>
        </is>
      </c>
      <c r="D5" s="6" t="inlineStr">
        <is>
          <t>QTY</t>
        </is>
      </c>
      <c r="E5" s="6" t="inlineStr">
        <is>
          <t>RATE (PKR) ✏</t>
        </is>
      </c>
      <c r="F5" s="6" t="inlineStr">
        <is>
          <t>AMOUNT (PKR)</t>
        </is>
      </c>
      <c r="G5" s="6" t="inlineStr">
        <is>
          <t>VENDOR / SUPPLIER</t>
        </is>
      </c>
      <c r="H5" s="6" t="inlineStr">
        <is>
          <t>CASH / CREDIT</t>
        </is>
      </c>
    </row>
    <row r="6" ht="18" customHeight="1">
      <c r="A6" s="7" t="n">
        <v>1</v>
      </c>
      <c r="B6" s="8" t="inlineStr">
        <is>
          <t>NYLON WHEEL 6" WITH BRACKET (REVOLVING)</t>
        </is>
      </c>
      <c r="C6" s="9" t="inlineStr">
        <is>
          <t>PCS</t>
        </is>
      </c>
      <c r="D6" s="10" t="n">
        <v>40</v>
      </c>
      <c r="E6" s="11" t="n"/>
      <c r="F6" s="12">
        <f>IF(E6="","",D6*E6)</f>
        <v/>
      </c>
      <c r="G6" s="13" t="n"/>
      <c r="H6" s="14" t="inlineStr">
        <is>
          <t>Cash</t>
        </is>
      </c>
    </row>
    <row r="7" ht="18" customHeight="1">
      <c r="A7" s="15" t="n">
        <v>2</v>
      </c>
      <c r="B7" s="16" t="inlineStr">
        <is>
          <t>AIR FRESHNER ROOM SPRAY 300ML TOPIC BRAND</t>
        </is>
      </c>
      <c r="C7" s="17" t="inlineStr">
        <is>
          <t>PCS</t>
        </is>
      </c>
      <c r="D7" s="18" t="n">
        <v>96</v>
      </c>
      <c r="E7" s="11" t="n"/>
      <c r="F7" s="12">
        <f>IF(E7="","",D7*E7)</f>
        <v/>
      </c>
      <c r="G7" s="19" t="n"/>
      <c r="H7" s="14" t="inlineStr">
        <is>
          <t>Cash</t>
        </is>
      </c>
    </row>
    <row r="8" ht="18" customHeight="1">
      <c r="A8" s="7" t="n">
        <v>3</v>
      </c>
      <c r="B8" s="8" t="inlineStr">
        <is>
          <t>BLEACH 30KG LOCAL</t>
        </is>
      </c>
      <c r="C8" s="9" t="inlineStr">
        <is>
          <t>CAN</t>
        </is>
      </c>
      <c r="D8" s="10" t="n">
        <v>8</v>
      </c>
      <c r="E8" s="11" t="n"/>
      <c r="F8" s="12">
        <f>IF(E8="","",D8*E8)</f>
        <v/>
      </c>
      <c r="G8" s="13" t="n"/>
      <c r="H8" s="14" t="inlineStr">
        <is>
          <t>Cash</t>
        </is>
      </c>
    </row>
    <row r="9" ht="18" customHeight="1">
      <c r="A9" s="15" t="n">
        <v>4</v>
      </c>
      <c r="B9" s="16" t="inlineStr">
        <is>
          <t>BROOM HARD</t>
        </is>
      </c>
      <c r="C9" s="17" t="inlineStr">
        <is>
          <t>PCS</t>
        </is>
      </c>
      <c r="D9" s="18" t="n">
        <v>200</v>
      </c>
      <c r="E9" s="11" t="n"/>
      <c r="F9" s="12">
        <f>IF(E9="","",D9*E9)</f>
        <v/>
      </c>
      <c r="G9" s="19" t="n"/>
      <c r="H9" s="14" t="inlineStr">
        <is>
          <t>Cash</t>
        </is>
      </c>
    </row>
    <row r="10" ht="18" customHeight="1">
      <c r="A10" s="7" t="n">
        <v>5</v>
      </c>
      <c r="B10" s="8" t="inlineStr">
        <is>
          <t>BROOM SOFT</t>
        </is>
      </c>
      <c r="C10" s="9" t="inlineStr">
        <is>
          <t>PCS</t>
        </is>
      </c>
      <c r="D10" s="10" t="n">
        <v>200</v>
      </c>
      <c r="E10" s="11" t="n"/>
      <c r="F10" s="12">
        <f>IF(E10="","",D10*E10)</f>
        <v/>
      </c>
      <c r="G10" s="13" t="n"/>
      <c r="H10" s="14" t="inlineStr">
        <is>
          <t>Cash</t>
        </is>
      </c>
    </row>
    <row r="11" ht="18" customHeight="1">
      <c r="A11" s="15" t="n">
        <v>6</v>
      </c>
      <c r="B11" s="16" t="inlineStr">
        <is>
          <t>CHINA BRUSH</t>
        </is>
      </c>
      <c r="C11" s="17" t="inlineStr">
        <is>
          <t>PCS</t>
        </is>
      </c>
      <c r="D11" s="18" t="n">
        <v>130</v>
      </c>
      <c r="E11" s="11" t="n"/>
      <c r="F11" s="12">
        <f>IF(E11="","",D11*E11)</f>
        <v/>
      </c>
      <c r="G11" s="19" t="n"/>
      <c r="H11" s="14" t="inlineStr">
        <is>
          <t>Cash</t>
        </is>
      </c>
    </row>
    <row r="12" ht="18" customHeight="1">
      <c r="A12" s="7" t="n">
        <v>7</v>
      </c>
      <c r="B12" s="8" t="inlineStr">
        <is>
          <t>DUSTBIN BAG 30 X 50 BLACK</t>
        </is>
      </c>
      <c r="C12" s="9" t="inlineStr">
        <is>
          <t>KG</t>
        </is>
      </c>
      <c r="D12" s="10" t="n">
        <v>48</v>
      </c>
      <c r="E12" s="11" t="n"/>
      <c r="F12" s="12">
        <f>IF(E12="","",D12*E12)</f>
        <v/>
      </c>
      <c r="G12" s="13" t="n"/>
      <c r="H12" s="14" t="inlineStr">
        <is>
          <t>Cash</t>
        </is>
      </c>
    </row>
    <row r="13" ht="18" customHeight="1">
      <c r="A13" s="15" t="n">
        <v>8</v>
      </c>
      <c r="B13" s="16" t="inlineStr">
        <is>
          <t>DUSTER FABRIC</t>
        </is>
      </c>
      <c r="C13" s="17" t="inlineStr">
        <is>
          <t>PCS</t>
        </is>
      </c>
      <c r="D13" s="18" t="n">
        <v>100</v>
      </c>
      <c r="E13" s="11" t="n"/>
      <c r="F13" s="12">
        <f>IF(E13="","",D13*E13)</f>
        <v/>
      </c>
      <c r="G13" s="19" t="n"/>
      <c r="H13" s="14" t="inlineStr">
        <is>
          <t>Cash</t>
        </is>
      </c>
    </row>
    <row r="14" ht="18" customHeight="1">
      <c r="A14" s="7" t="n">
        <v>9</v>
      </c>
      <c r="B14" s="8" t="inlineStr">
        <is>
          <t>GLASS CLEANER GLINT 500 ML</t>
        </is>
      </c>
      <c r="C14" s="9" t="inlineStr">
        <is>
          <t>BTL</t>
        </is>
      </c>
      <c r="D14" s="10" t="n">
        <v>24</v>
      </c>
      <c r="E14" s="11" t="n"/>
      <c r="F14" s="12">
        <f>IF(E14="","",D14*E14)</f>
        <v/>
      </c>
      <c r="G14" s="13" t="n"/>
      <c r="H14" s="14" t="inlineStr">
        <is>
          <t>Cash</t>
        </is>
      </c>
    </row>
    <row r="15" ht="18" customHeight="1">
      <c r="A15" s="15" t="n">
        <v>10</v>
      </c>
      <c r="B15" s="16" t="inlineStr">
        <is>
          <t>HAND BRUSH</t>
        </is>
      </c>
      <c r="C15" s="17" t="inlineStr">
        <is>
          <t>PCS</t>
        </is>
      </c>
      <c r="D15" s="18" t="n">
        <v>24</v>
      </c>
      <c r="E15" s="11" t="n"/>
      <c r="F15" s="12">
        <f>IF(E15="","",D15*E15)</f>
        <v/>
      </c>
      <c r="G15" s="19" t="n"/>
      <c r="H15" s="14" t="inlineStr">
        <is>
          <t>Cash</t>
        </is>
      </c>
    </row>
    <row r="16" ht="18" customHeight="1">
      <c r="A16" s="7" t="n">
        <v>11</v>
      </c>
      <c r="B16" s="8" t="inlineStr">
        <is>
          <t>HANDWASH LIFEBOY 140 ML</t>
        </is>
      </c>
      <c r="C16" s="9" t="inlineStr">
        <is>
          <t>BTL</t>
        </is>
      </c>
      <c r="D16" s="10" t="n">
        <v>48</v>
      </c>
      <c r="E16" s="11" t="n"/>
      <c r="F16" s="12">
        <f>IF(E16="","",D16*E16)</f>
        <v/>
      </c>
      <c r="G16" s="13" t="n"/>
      <c r="H16" s="14" t="inlineStr">
        <is>
          <t>Cash</t>
        </is>
      </c>
    </row>
    <row r="17" ht="18" customHeight="1">
      <c r="A17" s="15" t="n">
        <v>12</v>
      </c>
      <c r="B17" s="16" t="inlineStr">
        <is>
          <t>LEMON MAX BAR 285 GRAMS</t>
        </is>
      </c>
      <c r="C17" s="17" t="inlineStr">
        <is>
          <t>PCS</t>
        </is>
      </c>
      <c r="D17" s="18" t="n">
        <v>48</v>
      </c>
      <c r="E17" s="11" t="n"/>
      <c r="F17" s="12">
        <f>IF(E17="","",D17*E17)</f>
        <v/>
      </c>
      <c r="G17" s="19" t="n"/>
      <c r="H17" s="14" t="inlineStr">
        <is>
          <t>Cash</t>
        </is>
      </c>
    </row>
    <row r="18" ht="18" customHeight="1">
      <c r="A18" s="7" t="n">
        <v>13</v>
      </c>
      <c r="B18" s="8" t="inlineStr">
        <is>
          <t>LUX SOAP 70 GRAMS</t>
        </is>
      </c>
      <c r="C18" s="9" t="inlineStr">
        <is>
          <t>PCS</t>
        </is>
      </c>
      <c r="D18" s="10" t="n">
        <v>100</v>
      </c>
      <c r="E18" s="11" t="n"/>
      <c r="F18" s="12">
        <f>IF(E18="","",D18*E18)</f>
        <v/>
      </c>
      <c r="G18" s="13" t="n"/>
      <c r="H18" s="14" t="inlineStr">
        <is>
          <t>Cash</t>
        </is>
      </c>
    </row>
    <row r="19" ht="18" customHeight="1">
      <c r="A19" s="15" t="n">
        <v>14</v>
      </c>
      <c r="B19" s="16" t="inlineStr">
        <is>
          <t>MOP BIG 18 X 18 WOODEN</t>
        </is>
      </c>
      <c r="C19" s="17" t="inlineStr">
        <is>
          <t>PCS</t>
        </is>
      </c>
      <c r="D19" s="18" t="n">
        <v>100</v>
      </c>
      <c r="E19" s="11" t="n"/>
      <c r="F19" s="12">
        <f>IF(E19="","",D19*E19)</f>
        <v/>
      </c>
      <c r="G19" s="19" t="n"/>
      <c r="H19" s="14" t="inlineStr">
        <is>
          <t>Cash</t>
        </is>
      </c>
    </row>
    <row r="20" ht="18" customHeight="1">
      <c r="A20" s="7" t="n">
        <v>15</v>
      </c>
      <c r="B20" s="8" t="inlineStr">
        <is>
          <t>MOP REFILL (600 GRAM)</t>
        </is>
      </c>
      <c r="C20" s="9" t="inlineStr">
        <is>
          <t>PCS</t>
        </is>
      </c>
      <c r="D20" s="10" t="n">
        <v>300</v>
      </c>
      <c r="E20" s="11" t="n"/>
      <c r="F20" s="12">
        <f>IF(E20="","",D20*E20)</f>
        <v/>
      </c>
      <c r="G20" s="13" t="n"/>
      <c r="H20" s="14" t="inlineStr">
        <is>
          <t>Cash</t>
        </is>
      </c>
    </row>
    <row r="21" ht="18" customHeight="1">
      <c r="A21" s="15" t="n">
        <v>16</v>
      </c>
      <c r="B21" s="16" t="inlineStr">
        <is>
          <t>MOP STICK</t>
        </is>
      </c>
      <c r="C21" s="17" t="inlineStr">
        <is>
          <t>PCS</t>
        </is>
      </c>
      <c r="D21" s="18" t="n">
        <v>48</v>
      </c>
      <c r="E21" s="11" t="n"/>
      <c r="F21" s="12">
        <f>IF(E21="","",D21*E21)</f>
        <v/>
      </c>
      <c r="G21" s="19" t="n"/>
      <c r="H21" s="14" t="inlineStr">
        <is>
          <t>Cash</t>
        </is>
      </c>
    </row>
    <row r="22" ht="18" customHeight="1">
      <c r="A22" s="7" t="n">
        <v>17</v>
      </c>
      <c r="B22" s="8" t="inlineStr">
        <is>
          <t>PHENYL ZIP LOCAL 3 LTR</t>
        </is>
      </c>
      <c r="C22" s="9" t="inlineStr">
        <is>
          <t>BTL</t>
        </is>
      </c>
      <c r="D22" s="10" t="n">
        <v>200</v>
      </c>
      <c r="E22" s="11" t="n"/>
      <c r="F22" s="12">
        <f>IF(E22="","",D22*E22)</f>
        <v/>
      </c>
      <c r="G22" s="13" t="n"/>
      <c r="H22" s="14" t="inlineStr">
        <is>
          <t>Cash</t>
        </is>
      </c>
    </row>
    <row r="23" ht="18" customHeight="1">
      <c r="A23" s="15" t="n">
        <v>18</v>
      </c>
      <c r="B23" s="16" t="inlineStr">
        <is>
          <t>ROOMI BOX</t>
        </is>
      </c>
      <c r="C23" s="17" t="inlineStr">
        <is>
          <t>CTN</t>
        </is>
      </c>
      <c r="D23" s="18" t="n">
        <v>1</v>
      </c>
      <c r="E23" s="11" t="n"/>
      <c r="F23" s="12">
        <f>IF(E23="","",D23*E23)</f>
        <v/>
      </c>
      <c r="G23" s="19" t="n"/>
      <c r="H23" s="14" t="inlineStr">
        <is>
          <t>Cash</t>
        </is>
      </c>
    </row>
    <row r="24" ht="18" customHeight="1">
      <c r="A24" s="7" t="n">
        <v>19</v>
      </c>
      <c r="B24" s="8" t="inlineStr">
        <is>
          <t>SAFTY MATCH 10 PCS</t>
        </is>
      </c>
      <c r="C24" s="9" t="inlineStr">
        <is>
          <t>PKT</t>
        </is>
      </c>
      <c r="D24" s="10" t="n">
        <v>15</v>
      </c>
      <c r="E24" s="11" t="n"/>
      <c r="F24" s="12">
        <f>IF(E24="","",D24*E24)</f>
        <v/>
      </c>
      <c r="G24" s="13" t="n"/>
      <c r="H24" s="14" t="inlineStr">
        <is>
          <t>Cash</t>
        </is>
      </c>
    </row>
    <row r="25" ht="18" customHeight="1">
      <c r="A25" s="15" t="n">
        <v>20</v>
      </c>
      <c r="B25" s="16" t="inlineStr">
        <is>
          <t>SCRAPER PLASTIC SUPRI</t>
        </is>
      </c>
      <c r="C25" s="17" t="inlineStr">
        <is>
          <t>PCS</t>
        </is>
      </c>
      <c r="D25" s="18" t="n">
        <v>48</v>
      </c>
      <c r="E25" s="11" t="n"/>
      <c r="F25" s="12">
        <f>IF(E25="","",D25*E25)</f>
        <v/>
      </c>
      <c r="G25" s="19" t="n"/>
      <c r="H25" s="14" t="inlineStr">
        <is>
          <t>Cash</t>
        </is>
      </c>
    </row>
    <row r="26" ht="18" customHeight="1">
      <c r="A26" s="7" t="n">
        <v>21</v>
      </c>
      <c r="B26" s="8" t="inlineStr">
        <is>
          <t>SURF LOOSE LOCAL</t>
        </is>
      </c>
      <c r="C26" s="9" t="inlineStr">
        <is>
          <t>KG</t>
        </is>
      </c>
      <c r="D26" s="10" t="n">
        <v>50</v>
      </c>
      <c r="E26" s="11" t="n"/>
      <c r="F26" s="12">
        <f>IF(E26="","",D26*E26)</f>
        <v/>
      </c>
      <c r="G26" s="13" t="n"/>
      <c r="H26" s="14" t="inlineStr">
        <is>
          <t>Cash</t>
        </is>
      </c>
    </row>
    <row r="27" ht="18" customHeight="1">
      <c r="A27" s="15" t="n">
        <v>22</v>
      </c>
      <c r="B27" s="16" t="inlineStr">
        <is>
          <t>TILE WASH SWEEP LOCAL 30KG</t>
        </is>
      </c>
      <c r="C27" s="17" t="inlineStr">
        <is>
          <t>CAN</t>
        </is>
      </c>
      <c r="D27" s="18" t="n">
        <v>9</v>
      </c>
      <c r="E27" s="11" t="n"/>
      <c r="F27" s="12">
        <f>IF(E27="","",D27*E27)</f>
        <v/>
      </c>
      <c r="G27" s="19" t="n"/>
      <c r="H27" s="14" t="inlineStr">
        <is>
          <t>Cash</t>
        </is>
      </c>
    </row>
    <row r="28" ht="18" customHeight="1">
      <c r="A28" s="7" t="n">
        <v>23</v>
      </c>
      <c r="B28" s="8" t="inlineStr">
        <is>
          <t>TISSUE BOX ROSE PETAL POP UP 150 SHEET</t>
        </is>
      </c>
      <c r="C28" s="9" t="inlineStr">
        <is>
          <t>PKT</t>
        </is>
      </c>
      <c r="D28" s="10" t="n">
        <v>300</v>
      </c>
      <c r="E28" s="11" t="n"/>
      <c r="F28" s="12">
        <f>IF(E28="","",D28*E28)</f>
        <v/>
      </c>
      <c r="G28" s="13" t="n"/>
      <c r="H28" s="14" t="inlineStr">
        <is>
          <t>Cash</t>
        </is>
      </c>
    </row>
    <row r="29" ht="18" customHeight="1">
      <c r="A29" s="15" t="n">
        <v>24</v>
      </c>
      <c r="B29" s="16" t="inlineStr">
        <is>
          <t>TISSUE PAPER ROLL</t>
        </is>
      </c>
      <c r="C29" s="17" t="inlineStr">
        <is>
          <t>PCS</t>
        </is>
      </c>
      <c r="D29" s="18" t="n">
        <v>200</v>
      </c>
      <c r="E29" s="11" t="n"/>
      <c r="F29" s="12">
        <f>IF(E29="","",D29*E29)</f>
        <v/>
      </c>
      <c r="G29" s="19" t="n"/>
      <c r="H29" s="14" t="inlineStr">
        <is>
          <t>Cash</t>
        </is>
      </c>
    </row>
    <row r="30" ht="18" customHeight="1">
      <c r="A30" s="7" t="n">
        <v>25</v>
      </c>
      <c r="B30" s="8" t="inlineStr">
        <is>
          <t>VIM TOILET BLEACH POWDER LOSE LOCAL</t>
        </is>
      </c>
      <c r="C30" s="9" t="inlineStr">
        <is>
          <t>PCS</t>
        </is>
      </c>
      <c r="D30" s="10" t="n">
        <v>24</v>
      </c>
      <c r="E30" s="11" t="n"/>
      <c r="F30" s="12">
        <f>IF(E30="","",D30*E30)</f>
        <v/>
      </c>
      <c r="G30" s="13" t="n"/>
      <c r="H30" s="14" t="inlineStr">
        <is>
          <t>Cash</t>
        </is>
      </c>
    </row>
    <row r="31" ht="18" customHeight="1">
      <c r="A31" s="15" t="n">
        <v>26</v>
      </c>
      <c r="B31" s="16" t="inlineStr">
        <is>
          <t>CERAMIC FIBRE ROPE 10MM DIA X 30M TEMP 150-200C</t>
        </is>
      </c>
      <c r="C31" s="17" t="inlineStr">
        <is>
          <t>PCS</t>
        </is>
      </c>
      <c r="D31" s="18" t="n">
        <v>4</v>
      </c>
      <c r="E31" s="11" t="n"/>
      <c r="F31" s="12">
        <f>IF(E31="","",D31*E31)</f>
        <v/>
      </c>
      <c r="G31" s="19" t="n"/>
      <c r="H31" s="14" t="inlineStr">
        <is>
          <t>Cash</t>
        </is>
      </c>
    </row>
    <row r="32" ht="18" customHeight="1">
      <c r="A32" s="7" t="n">
        <v>27</v>
      </c>
      <c r="B32" s="8" t="inlineStr">
        <is>
          <t>CERAMIC PLATES WHITE 12INCH</t>
        </is>
      </c>
      <c r="C32" s="9" t="inlineStr">
        <is>
          <t>PCS</t>
        </is>
      </c>
      <c r="D32" s="10" t="n">
        <v>12</v>
      </c>
      <c r="E32" s="11" t="n"/>
      <c r="F32" s="12">
        <f>IF(E32="","",D32*E32)</f>
        <v/>
      </c>
      <c r="G32" s="13" t="n"/>
      <c r="H32" s="14" t="inlineStr">
        <is>
          <t>Cash</t>
        </is>
      </c>
    </row>
    <row r="33" ht="18" customHeight="1">
      <c r="A33" s="15" t="n">
        <v>28</v>
      </c>
      <c r="B33" s="16" t="inlineStr">
        <is>
          <t>CERAMIC PLATES WHITE 8INCH</t>
        </is>
      </c>
      <c r="C33" s="17" t="inlineStr">
        <is>
          <t>PCS</t>
        </is>
      </c>
      <c r="D33" s="18" t="n">
        <v>12</v>
      </c>
      <c r="E33" s="11" t="n"/>
      <c r="F33" s="12">
        <f>IF(E33="","",D33*E33)</f>
        <v/>
      </c>
      <c r="G33" s="19" t="n"/>
      <c r="H33" s="14" t="inlineStr">
        <is>
          <t>Cash</t>
        </is>
      </c>
    </row>
    <row r="34" ht="18" customHeight="1">
      <c r="A34" s="7" t="n">
        <v>29</v>
      </c>
      <c r="B34" s="8" t="inlineStr">
        <is>
          <t>GLASS 6 PCS SET</t>
        </is>
      </c>
      <c r="C34" s="9" t="inlineStr">
        <is>
          <t>SET</t>
        </is>
      </c>
      <c r="D34" s="10" t="n">
        <v>1</v>
      </c>
      <c r="E34" s="11" t="n"/>
      <c r="F34" s="12">
        <f>IF(E34="","",D34*E34)</f>
        <v/>
      </c>
      <c r="G34" s="13" t="n"/>
      <c r="H34" s="14" t="inlineStr">
        <is>
          <t>Cash</t>
        </is>
      </c>
    </row>
    <row r="35" ht="18" customHeight="1">
      <c r="A35" s="15" t="n">
        <v>30</v>
      </c>
      <c r="B35" s="16" t="inlineStr">
        <is>
          <t>TABLE SPOON STAINLESS STEEL</t>
        </is>
      </c>
      <c r="C35" s="17" t="inlineStr">
        <is>
          <t>DZN</t>
        </is>
      </c>
      <c r="D35" s="18" t="n">
        <v>2</v>
      </c>
      <c r="E35" s="11" t="n"/>
      <c r="F35" s="12">
        <f>IF(E35="","",D35*E35)</f>
        <v/>
      </c>
      <c r="G35" s="19" t="n"/>
      <c r="H35" s="14" t="inlineStr">
        <is>
          <t>Cash</t>
        </is>
      </c>
    </row>
    <row r="36" ht="18" customHeight="1">
      <c r="A36" s="7" t="n">
        <v>31</v>
      </c>
      <c r="B36" s="8" t="inlineStr">
        <is>
          <t>COFFEE (100G)</t>
        </is>
      </c>
      <c r="C36" s="9" t="inlineStr">
        <is>
          <t>PCS</t>
        </is>
      </c>
      <c r="D36" s="10" t="n">
        <v>3</v>
      </c>
      <c r="E36" s="11" t="n"/>
      <c r="F36" s="12">
        <f>IF(E36="","",D36*E36)</f>
        <v/>
      </c>
      <c r="G36" s="13" t="n"/>
      <c r="H36" s="14" t="inlineStr">
        <is>
          <t>Cash</t>
        </is>
      </c>
    </row>
    <row r="37" ht="18" customHeight="1">
      <c r="A37" s="15" t="n">
        <v>32</v>
      </c>
      <c r="B37" s="16" t="inlineStr">
        <is>
          <t>EVERY DAY TEA WHITENER 2KG 1 POUCH</t>
        </is>
      </c>
      <c r="C37" s="17" t="inlineStr">
        <is>
          <t>PKT</t>
        </is>
      </c>
      <c r="D37" s="18" t="n">
        <v>260</v>
      </c>
      <c r="E37" s="11" t="n"/>
      <c r="F37" s="12">
        <f>IF(E37="","",D37*E37)</f>
        <v/>
      </c>
      <c r="G37" s="19" t="n"/>
      <c r="H37" s="14" t="inlineStr">
        <is>
          <t>Cash</t>
        </is>
      </c>
    </row>
    <row r="38" ht="18" customHeight="1">
      <c r="A38" s="7" t="n">
        <v>33</v>
      </c>
      <c r="B38" s="8" t="inlineStr">
        <is>
          <t>LIPTON LEMON GREEN TEA 100 BAGS</t>
        </is>
      </c>
      <c r="C38" s="9" t="inlineStr">
        <is>
          <t>PKT</t>
        </is>
      </c>
      <c r="D38" s="10" t="n">
        <v>30</v>
      </c>
      <c r="E38" s="11" t="n"/>
      <c r="F38" s="12">
        <f>IF(E38="","",D38*E38)</f>
        <v/>
      </c>
      <c r="G38" s="13" t="n"/>
      <c r="H38" s="14" t="inlineStr">
        <is>
          <t>Cash</t>
        </is>
      </c>
    </row>
    <row r="39" ht="18" customHeight="1">
      <c r="A39" s="15" t="n">
        <v>34</v>
      </c>
      <c r="B39" s="16" t="inlineStr">
        <is>
          <t>LIPTON TEA BAG 600 BAGS</t>
        </is>
      </c>
      <c r="C39" s="17" t="inlineStr">
        <is>
          <t>BOX</t>
        </is>
      </c>
      <c r="D39" s="18" t="n">
        <v>10</v>
      </c>
      <c r="E39" s="11" t="n"/>
      <c r="F39" s="12">
        <f>IF(E39="","",D39*E39)</f>
        <v/>
      </c>
      <c r="G39" s="19" t="n"/>
      <c r="H39" s="14" t="inlineStr">
        <is>
          <t>Cash</t>
        </is>
      </c>
    </row>
    <row r="40" ht="18" customHeight="1">
      <c r="A40" s="7" t="n">
        <v>35</v>
      </c>
      <c r="B40" s="8" t="inlineStr">
        <is>
          <t>NESCAFE (200GM)</t>
        </is>
      </c>
      <c r="C40" s="9" t="inlineStr">
        <is>
          <t>PCS</t>
        </is>
      </c>
      <c r="D40" s="10" t="n">
        <v>23</v>
      </c>
      <c r="E40" s="11" t="n"/>
      <c r="F40" s="12">
        <f>IF(E40="","",D40*E40)</f>
        <v/>
      </c>
      <c r="G40" s="13" t="n"/>
      <c r="H40" s="14" t="inlineStr">
        <is>
          <t>Cash</t>
        </is>
      </c>
    </row>
    <row r="41" ht="18" customHeight="1">
      <c r="A41" s="15" t="n">
        <v>36</v>
      </c>
      <c r="B41" s="16" t="inlineStr">
        <is>
          <t>NESTLE WATER 500 ML</t>
        </is>
      </c>
      <c r="C41" s="17" t="inlineStr">
        <is>
          <t>CRT</t>
        </is>
      </c>
      <c r="D41" s="18" t="n">
        <v>23</v>
      </c>
      <c r="E41" s="11" t="n"/>
      <c r="F41" s="12">
        <f>IF(E41="","",D41*E41)</f>
        <v/>
      </c>
      <c r="G41" s="19" t="n"/>
      <c r="H41" s="14" t="inlineStr">
        <is>
          <t>Cash</t>
        </is>
      </c>
    </row>
    <row r="42" ht="18" customHeight="1">
      <c r="A42" s="7" t="n">
        <v>37</v>
      </c>
      <c r="B42" s="8" t="inlineStr">
        <is>
          <t>SUGAR 2 KGS PACK</t>
        </is>
      </c>
      <c r="C42" s="9" t="inlineStr">
        <is>
          <t>PKT</t>
        </is>
      </c>
      <c r="D42" s="10" t="n">
        <v>350</v>
      </c>
      <c r="E42" s="11" t="n"/>
      <c r="F42" s="12">
        <f>IF(E42="","",D42*E42)</f>
        <v/>
      </c>
      <c r="G42" s="13" t="n"/>
      <c r="H42" s="14" t="inlineStr">
        <is>
          <t>Cash</t>
        </is>
      </c>
    </row>
    <row r="43" ht="18" customHeight="1">
      <c r="A43" s="15" t="n">
        <v>38</v>
      </c>
      <c r="B43" s="16" t="inlineStr">
        <is>
          <t>TAPAL FAMILY MIXTURE (900GM)</t>
        </is>
      </c>
      <c r="C43" s="17" t="inlineStr">
        <is>
          <t>PKT</t>
        </is>
      </c>
      <c r="D43" s="18" t="n">
        <v>176</v>
      </c>
      <c r="E43" s="11" t="n"/>
      <c r="F43" s="12">
        <f>IF(E43="","",D43*E43)</f>
        <v/>
      </c>
      <c r="G43" s="19" t="n"/>
      <c r="H43" s="14" t="inlineStr">
        <is>
          <t>Cash</t>
        </is>
      </c>
    </row>
    <row r="44" ht="6" customHeight="1"/>
    <row r="45" ht="24" customHeight="1">
      <c r="A45" s="20" t="inlineStr">
        <is>
          <t>TOTAL PURCHASED (ALL ITEMS)</t>
        </is>
      </c>
      <c r="F45" s="21">
        <f>SUM(F6:F43)</f>
        <v/>
      </c>
    </row>
    <row r="46" ht="20" customHeight="1">
      <c r="A46" s="22" t="inlineStr">
        <is>
          <t xml:space="preserve">  → Cash Purchases Total</t>
        </is>
      </c>
      <c r="F46" s="23">
        <f>SUMIF(H6:H43,"Cash",F6:F43)</f>
        <v/>
      </c>
    </row>
    <row r="47" ht="20" customHeight="1">
      <c r="A47" s="24" t="inlineStr">
        <is>
          <t xml:space="preserve">  → Credit Purchases Total</t>
        </is>
      </c>
      <c r="F47" s="25">
        <f>SUMIF(H6:H43,"Credit",F6:F43)</f>
        <v/>
      </c>
    </row>
    <row r="48" ht="22" customHeight="1">
      <c r="A48" s="26" t="inlineStr">
        <is>
          <t>BALANCE  (Advance − Total)</t>
        </is>
      </c>
      <c r="F48" s="27">
        <f>IF(F3="","",F3-F45)</f>
        <v/>
      </c>
    </row>
    <row r="50" ht="18" customHeight="1">
      <c r="A50" s="28" t="inlineStr">
        <is>
          <t>ZOHO ENTRIES THAT WILL BE CREATED AUTOMATICALLY</t>
        </is>
      </c>
    </row>
    <row r="51" ht="18" customHeight="1">
      <c r="A51" s="29" t="inlineStr">
        <is>
          <t>1</t>
        </is>
      </c>
      <c r="B51" s="30" t="inlineStr">
        <is>
          <t>Expense Entry</t>
        </is>
      </c>
      <c r="D51" s="31" t="inlineStr">
        <is>
          <t>Advance paid to Kashif</t>
        </is>
      </c>
      <c r="G51" s="32" t="inlineStr">
        <is>
          <t>Paid From account → Kashif Advance</t>
        </is>
      </c>
    </row>
    <row r="52" ht="18" customHeight="1">
      <c r="A52" s="29" t="inlineStr">
        <is>
          <t>2</t>
        </is>
      </c>
      <c r="B52" s="33" t="inlineStr">
        <is>
          <t>Vendor Bills (Cash)</t>
        </is>
      </c>
      <c r="D52" s="34" t="inlineStr">
        <is>
          <t>One bill per vendor for cash items</t>
        </is>
      </c>
      <c r="G52" s="35" t="inlineStr">
        <is>
          <t>COGS Dr / Vendor Cr (adjust vs advance)</t>
        </is>
      </c>
    </row>
    <row r="53" ht="18" customHeight="1">
      <c r="A53" s="29" t="inlineStr">
        <is>
          <t>3</t>
        </is>
      </c>
      <c r="B53" s="30" t="inlineStr">
        <is>
          <t>Vendor Bills (Credit)</t>
        </is>
      </c>
      <c r="D53" s="31" t="inlineStr">
        <is>
          <t>One bill per credit vendor</t>
        </is>
      </c>
      <c r="G53" s="32" t="inlineStr">
        <is>
          <t>COGS Dr / Accounts Payable Cr</t>
        </is>
      </c>
    </row>
    <row r="54" ht="18" customHeight="1">
      <c r="A54" s="29" t="inlineStr">
        <is>
          <t>4</t>
        </is>
      </c>
      <c r="B54" s="33" t="inlineStr">
        <is>
          <t>Customer Invoice</t>
        </is>
      </c>
      <c r="D54" s="34" t="inlineStr">
        <is>
          <t>Sales invoice for customer</t>
        </is>
      </c>
      <c r="G54" s="35" t="inlineStr">
        <is>
          <t>Customer Receivable Dr / Sales Cr</t>
        </is>
      </c>
    </row>
  </sheetData>
  <mergeCells count="25">
    <mergeCell ref="B54:C54"/>
    <mergeCell ref="A48:E48"/>
    <mergeCell ref="G52:H52"/>
    <mergeCell ref="B3:C3"/>
    <mergeCell ref="A53"/>
    <mergeCell ref="A45:E45"/>
    <mergeCell ref="A52"/>
    <mergeCell ref="A1:H1"/>
    <mergeCell ref="D53:F53"/>
    <mergeCell ref="B52:C52"/>
    <mergeCell ref="A51"/>
    <mergeCell ref="A46:E46"/>
    <mergeCell ref="G53:H53"/>
    <mergeCell ref="B53:C53"/>
    <mergeCell ref="G3:H3"/>
    <mergeCell ref="A50:H50"/>
    <mergeCell ref="D51:F51"/>
    <mergeCell ref="D54:F54"/>
    <mergeCell ref="A47:E47"/>
    <mergeCell ref="A54"/>
    <mergeCell ref="D3:E3"/>
    <mergeCell ref="G51:H51"/>
    <mergeCell ref="G54:H54"/>
    <mergeCell ref="B51:C51"/>
    <mergeCell ref="D52:F52"/>
  </mergeCells>
  <dataValidations count="2">
    <dataValidation sqref="G3" showDropDown="0" showInputMessage="0" showErrorMessage="0" allowBlank="1" type="list">
      <formula1>"Petty Cash,NEW CASH APRIL ONWARD,HBL,Habib Metro Bank,Faysal Bank"</formula1>
    </dataValidation>
    <dataValidation sqref="H6 H7 H8 H9 H10 H11 H12 H13 H14 H15 H16 H17 H18 H19 H20 H21 H22 H23 H24 H25 H26 H27 H28 H29 H30 H31 H32 H33 H34 H35 H36 H37 H38 H39 H40 H41 H42 H43" showDropDown="0" showInputMessage="0" showErrorMessage="0" allowBlank="1" type="list">
      <formula1>"Cash,Credit"</formula1>
    </dataValidation>
  </dataValidations>
  <pageMargins left="0.75" right="0.75" top="1" bottom="1" header="0.5" footer="0.5"/>
  <pageSetup orientation="portrait"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2026-06-17T12:01:29Z</dcterms:created>
  <dcterms:modified xsi:type="dcterms:W3CDTF">2026-06-17T12:01:29Z</dcterms:modified>
</cp:coreProperties>
</file>